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mc:AlternateContent xmlns:mc="http://schemas.openxmlformats.org/markup-compatibility/2006">
    <mc:Choice Requires="x15">
      <x15ac:absPath xmlns:x15ac="http://schemas.microsoft.com/office/spreadsheetml/2010/11/ac" url="C:\Users\vitoria.elane\Downloads\ATV 7\"/>
    </mc:Choice>
  </mc:AlternateContent>
  <xr:revisionPtr revIDLastSave="0" documentId="8_{E86F2DB0-B776-4CF6-AC44-4D1FB47D5D3B}" xr6:coauthVersionLast="47" xr6:coauthVersionMax="47" xr10:uidLastSave="{00000000-0000-0000-0000-000000000000}"/>
  <bookViews>
    <workbookView xWindow="-120" yWindow="-120" windowWidth="20730" windowHeight="11040" xr2:uid="{00000000-000D-0000-FFFF-FFFF00000000}"/>
  </bookViews>
  <sheets>
    <sheet name="Relação" sheetId="1" r:id="rId1"/>
    <sheet name="Resumo" sheetId="2" r:id="rId2"/>
  </sheets>
  <definedNames>
    <definedName name="_xlnm._FilterDatabase" localSheetId="0">Relação!$A$1:$AO$58</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F59" i="1" l="1"/>
  <c r="AE59" i="1"/>
  <c r="AD59" i="1"/>
  <c r="AB59" i="1"/>
  <c r="Z59" i="1"/>
  <c r="X59" i="1"/>
  <c r="S59" i="1"/>
  <c r="Q59" i="1"/>
  <c r="P59" i="1"/>
  <c r="H59" i="1"/>
</calcChain>
</file>

<file path=xl/sharedStrings.xml><?xml version="1.0" encoding="utf-8"?>
<sst xmlns="http://schemas.openxmlformats.org/spreadsheetml/2006/main" count="1562" uniqueCount="421">
  <si>
    <t>Número NFS-e</t>
  </si>
  <si>
    <t>Data Geração</t>
  </si>
  <si>
    <t>Competência</t>
  </si>
  <si>
    <t>CNPJ/CPF Prestador</t>
  </si>
  <si>
    <t>Nome Prestador</t>
  </si>
  <si>
    <t>CNPJ/CPF Tomador</t>
  </si>
  <si>
    <t>Nome Tomador</t>
  </si>
  <si>
    <t>Valor do Serviço (R$)</t>
  </si>
  <si>
    <t>Insc. Municipal Emitente</t>
  </si>
  <si>
    <t>Simples Nacional</t>
  </si>
  <si>
    <t>DPS Nº</t>
  </si>
  <si>
    <t>DPS Série</t>
  </si>
  <si>
    <t>Situação NFS-e</t>
  </si>
  <si>
    <t>Tributação do ISSQN</t>
  </si>
  <si>
    <t>Município de Incidência</t>
  </si>
  <si>
    <t>Desconto Incond. (R$)</t>
  </si>
  <si>
    <t>Base de Cálculo (R$)</t>
  </si>
  <si>
    <t>Alíquota ISSQN (%)</t>
  </si>
  <si>
    <t>Valor do ISSQN (R$)</t>
  </si>
  <si>
    <t>Retenção ISSQN</t>
  </si>
  <si>
    <t>Cód. Tributação Nacional</t>
  </si>
  <si>
    <t>Descrição do Serviço</t>
  </si>
  <si>
    <t>Sit. Trib. PIS/COFINS</t>
  </si>
  <si>
    <t>BC PIS/COFINS (R$)</t>
  </si>
  <si>
    <t>PIS - Alíquota (%)</t>
  </si>
  <si>
    <t>PIS - Débito (R$)</t>
  </si>
  <si>
    <t>COFINS - Alíquota (%)</t>
  </si>
  <si>
    <t>COFINS - Débito (R$)</t>
  </si>
  <si>
    <t>Descr. Contrib. Sociais Ret.</t>
  </si>
  <si>
    <t>IRRF (R$)</t>
  </si>
  <si>
    <t>Contrib. Sociais Ret. (R$)</t>
  </si>
  <si>
    <t>Contrib. Previd. Ret. (R$)</t>
  </si>
  <si>
    <t>% Total Tributos (SN)</t>
  </si>
  <si>
    <t>Insc. Municipal Tomador</t>
  </si>
  <si>
    <t>Informações Complementares</t>
  </si>
  <si>
    <t>Evento</t>
  </si>
  <si>
    <t>Autor do Evento</t>
  </si>
  <si>
    <t>Data do Evento</t>
  </si>
  <si>
    <t>Data Registro do Evento</t>
  </si>
  <si>
    <t>Situação</t>
  </si>
  <si>
    <t>Chave NFS-e</t>
  </si>
  <si>
    <t>07/2026</t>
  </si>
  <si>
    <t>09235172000119</t>
  </si>
  <si>
    <t>ICONE ASSESSORIA TECNICA EM SEGURANCA DO TRABALHO LTDA</t>
  </si>
  <si>
    <t>19253187000163</t>
  </si>
  <si>
    <t>CARMEL WIND RESORT LTDA</t>
  </si>
  <si>
    <t>2317656</t>
  </si>
  <si>
    <t>Microempresa ou Empresa de Pequeno Porte (ME/EPP)</t>
  </si>
  <si>
    <t>5296</t>
  </si>
  <si>
    <t>1</t>
  </si>
  <si>
    <t>100 - NFS-e Gerada</t>
  </si>
  <si>
    <t>1 - Operação Tributável</t>
  </si>
  <si>
    <t>Fortaleza/CE</t>
  </si>
  <si>
    <t>1 - Não Retido</t>
  </si>
  <si>
    <t>170901 - SERVIÇOS DE PERÍCIA TÉCNICA RELACIONADOS À SEGURANÇA DO TRABALHO</t>
  </si>
  <si>
    <t>ENVIO DOS EVENTOS DE SST PARA O ESOCIAL</t>
  </si>
  <si>
    <t>Não informado</t>
  </si>
  <si>
    <t/>
  </si>
  <si>
    <t>-</t>
  </si>
  <si>
    <t>Normal</t>
  </si>
  <si>
    <t>23044001209235172000119000000000529626070632450512</t>
  </si>
  <si>
    <t>12685810000108</t>
  </si>
  <si>
    <t>JOSE EDSON DONATO DA SILVA JUNIOR</t>
  </si>
  <si>
    <t>2551039</t>
  </si>
  <si>
    <t>Não Optante</t>
  </si>
  <si>
    <t>30707</t>
  </si>
  <si>
    <t>071301 - IMUNIZAÇÃO E CONTROLE DE PRAGAS URBANAS</t>
  </si>
  <si>
    <t>DESINSETIZAÇÃO E DESARTIZAÇÃO</t>
  </si>
  <si>
    <t>23044001212685810000108000000003070726070137621890</t>
  </si>
  <si>
    <t>51202223000172</t>
  </si>
  <si>
    <t>NEXT ELEVADORES DO CEARA LTDA</t>
  </si>
  <si>
    <t>8366241</t>
  </si>
  <si>
    <t>2165</t>
  </si>
  <si>
    <t>140101 - MANUTENÇÃO E REPARAÇÃO DE ELEVADORES, ESCADAS E ESTEIRAS ROLANTES</t>
  </si>
  <si>
    <t>Prestação de serviços em elevadores. Referente Substituição de 02 contatos de porta e 2 limites de poço. Empresa optante pelo simples nacional.</t>
  </si>
  <si>
    <t>23044001251202223000172000000000216526070802259244</t>
  </si>
  <si>
    <t>2164</t>
  </si>
  <si>
    <t>Prestação de serviços em elevadores. Manutenção preventiva referente ao mês de junho de 2026. Empresa optante pelo simples nacional</t>
  </si>
  <si>
    <t>23044001251202223000172000000000216426070805596825</t>
  </si>
  <si>
    <t>01864723000100</t>
  </si>
  <si>
    <t>MARCIO CARVALHO LOBO MORAIS -ME</t>
  </si>
  <si>
    <t>1364677</t>
  </si>
  <si>
    <t>2329</t>
  </si>
  <si>
    <t>170201 - EDIÇÃO INTEGRADA À IMPRESSÃO DE CADASTROS, LISTAS E OUTROS PRODUTOS GRÁFICOS</t>
  </si>
  <si>
    <t>10.000 UN.: ETIQ VINIL VALIDADE COZINHA = R$ 1.350,00 1.000 UN.: TICKET BAGAGEM = R$ 495,00 ORDEM DE COMPRA 96023</t>
  </si>
  <si>
    <t>23044001201864723000100000000000232926070283236949</t>
  </si>
  <si>
    <t>09370323000141</t>
  </si>
  <si>
    <t>MANDACARU ADMINISTRADORA DE CARTOES S A</t>
  </si>
  <si>
    <t>2322048</t>
  </si>
  <si>
    <t>610601</t>
  </si>
  <si>
    <t>150103 - ADMINISTRAÇÃO DE CARTÕES DE CRÉDITO</t>
  </si>
  <si>
    <t>LIBER COMBUSTIVEL: 1x811,80 = 811,80 TARIFA DE EMISSAO DE FATURA LIBER COMBUSTIVEL: 1x0,20 = 0,20 TARIFA DE ADMINISTRACAO COMBUSTIVEL: 1x0,05 = 0,41 VENCIMENTO 03/08/2026 NRO PEDIDO: 491350</t>
  </si>
  <si>
    <t>23044001209370323000141000000061060126070294983596</t>
  </si>
  <si>
    <t>55676447000177</t>
  </si>
  <si>
    <t>J7 SERVICOS E MANUTENCAO DE EQUIPAMENTOS DE FITNESS LTDA</t>
  </si>
  <si>
    <t>300780</t>
  </si>
  <si>
    <t>276</t>
  </si>
  <si>
    <t>Pacatuba/CE</t>
  </si>
  <si>
    <t>140101 - 1401 / 1401 Lubrificação, limpeza, lustração, revisão, carga e recarga, conserto, restauração, blindagem, manutenção e conservação de máquinas, veículos, aparelhos, equipamentos, motores, elevadores ou de qualquer objeto (exceto peças e partes empregadas, que ficam sujeitas ao ICMS).</t>
  </si>
  <si>
    <t>REF: A MANUTENÇÃO PREVENTIVA REALIZADA NOS EQUIPAMENTOS DE GINASTICA DA ACADEMIA , (CARDIO,FORÇA) DO MES DE JULHO DE 2026</t>
  </si>
  <si>
    <t>23097061255676447000177000000000027626076823290100</t>
  </si>
  <si>
    <t>44102125000106</t>
  </si>
  <si>
    <t>ISABELLE MARIA DE OLIVEIRA RODRIGUES CURATERRA</t>
  </si>
  <si>
    <t>102533</t>
  </si>
  <si>
    <t>109</t>
  </si>
  <si>
    <t>Aquiraz/CE</t>
  </si>
  <si>
    <t>080201 - 802 / Instrução, treinamento, orientação pedagógica e educacional, avaliação de conhecimentos de qualquer natureza.</t>
  </si>
  <si>
    <t>Oficina Mãos na Argila 18/07/2026</t>
  </si>
  <si>
    <t>23010001244102125000106000000000010926076178193464</t>
  </si>
  <si>
    <t>110</t>
  </si>
  <si>
    <t>Oficina Mãos na Argila 25/07/2026</t>
  </si>
  <si>
    <t>23010001244102125000106000000000011026077619566036</t>
  </si>
  <si>
    <t>108</t>
  </si>
  <si>
    <t>Oficina Mãos na Argila 11/07/2026</t>
  </si>
  <si>
    <t>23010001244102125000106000000000010826074063110345</t>
  </si>
  <si>
    <t>107</t>
  </si>
  <si>
    <t>Oficina Mãos na Argila 04/07/2026</t>
  </si>
  <si>
    <t>23010001244102125000106000000000010726079086752138</t>
  </si>
  <si>
    <t>05386318000176</t>
  </si>
  <si>
    <t>F E A TRANSPORTE E SERVICOS LTDA</t>
  </si>
  <si>
    <t>1770390</t>
  </si>
  <si>
    <t>64418</t>
  </si>
  <si>
    <t>4 - Não incidência</t>
  </si>
  <si>
    <t>/</t>
  </si>
  <si>
    <t>990101 - ALUGUEL DE MÁQUINAS E EQUIPAMENTOS PARA CONSTRUÇÃO SEM OPERADOR, EXCETO ANDAIMES</t>
  </si>
  <si>
    <t>02 - LOCAÇAO DE CONTEINER CLASSE B - R$ 450,00 - 900,00 REF JUNHO 2026 OBRA AVENIDA DOS COQUEIROS, 350 Obra Carmel Cumbuco - CUMBUCO - CAUCAIA/CE VENCIMENTO 24/07/2026</t>
  </si>
  <si>
    <t>23044001205386318000176000000006441826070704910180</t>
  </si>
  <si>
    <t>64352879000113</t>
  </si>
  <si>
    <t>HOTELIX SUPPORT LTDA</t>
  </si>
  <si>
    <t>200040220</t>
  </si>
  <si>
    <t>260000000000120</t>
  </si>
  <si>
    <t>00001</t>
  </si>
  <si>
    <t>Caucaia/CE</t>
  </si>
  <si>
    <t>2 - Retido pelo Tomador</t>
  </si>
  <si>
    <t>170501 - Fornecimento de mão-de-obra, mesmo em caráter temporário, inclusive de empregados ou trabalhadores, avulsos ou temporários, contratados pelo prestador de serviço.</t>
  </si>
  <si>
    <t>PRESTAÇÃO DE SERVIÇOS DE MAO DE OBRA TEMPORARIA. BANCO ITAÚ AG: 6928 CONTA: 99438-0</t>
  </si>
  <si>
    <t>23042851264352879000113260000000012026070002445793</t>
  </si>
  <si>
    <t>22025103000149</t>
  </si>
  <si>
    <t>22.025.103 ILTON PESSOA DE ARAUJO</t>
  </si>
  <si>
    <t>0070890</t>
  </si>
  <si>
    <t>Microempreendedor Individual (MEI)</t>
  </si>
  <si>
    <t>35</t>
  </si>
  <si>
    <t>70000</t>
  </si>
  <si>
    <t>107 - NFS-e do MEI Gerada</t>
  </si>
  <si>
    <t>240102 - Serviços de placas, sinalização visual, banners, adesivos e congêneres.</t>
  </si>
  <si>
    <t>LIVRO 1 - 213 PAGINAS / ENCADERNAÇÃO | LIVRO 2 - 95 PAGINAS / ENCADERNAÇÃO = R$ 500,00</t>
  </si>
  <si>
    <t>23037092222025103000149000000000006826074460214628</t>
  </si>
  <si>
    <t>03191712000123</t>
  </si>
  <si>
    <t>REPLAMA PRESTACAO DE SERVICOS LTDA</t>
  </si>
  <si>
    <t>101083656</t>
  </si>
  <si>
    <t>260000000195107</t>
  </si>
  <si>
    <t>070901 - Varrição, coleta e remoção de lixo, rejeitos e outros resíduos quaisquer.</t>
  </si>
  <si>
    <t>CLASSE II - COMUM 289 UN DE BOMBONA PLÁSTICA 200 LT COLETA E TRANSPORTE DE RESÍDUOS EMPRESA OPTANTE DO SIMPLES COLETA E TRANSPORTE DE RESÍDUOS</t>
  </si>
  <si>
    <t>23042851203191712000123260000019510726070002421234</t>
  </si>
  <si>
    <t>22458994000127</t>
  </si>
  <si>
    <t>BRENO DINIZ RODRIGUES ME</t>
  </si>
  <si>
    <t>4562828</t>
  </si>
  <si>
    <t>169</t>
  </si>
  <si>
    <t>240102 - SERVIÇOS DE GRAVAÇÃO DE CARIMBOS, EXCETO CONFECÇÃO</t>
  </si>
  <si>
    <t>OSS 19893 - ACTIVE 3 - MÃO DE OBRA TROCA DE BATERIA R$80,00</t>
  </si>
  <si>
    <t>23044001222458994000127000000000016926070429500820</t>
  </si>
  <si>
    <t>168</t>
  </si>
  <si>
    <t>OSS 19798 ACTIVE 3 - COLAGEM DE TELA R$80,00</t>
  </si>
  <si>
    <t>23044001222458994000127000000000016826070537398310</t>
  </si>
  <si>
    <t>19635965000189</t>
  </si>
  <si>
    <t>CARLOS ALBERTO DE SOUSA ALMEIDA - ME</t>
  </si>
  <si>
    <t>2027577</t>
  </si>
  <si>
    <t>208</t>
  </si>
  <si>
    <t>3</t>
  </si>
  <si>
    <t>140501 - REPARAÇÃO E MANUTENÇÃO DE OUTROS OBJETOS E EQUIPAMENTOS PESSOAIS E DOMÉSTICOS NÃO ESPECIFICADOS ANTERIORMENTE</t>
  </si>
  <si>
    <t>8 conjuntos de sacos p/ carrinhos de camareira (8 unidades P + 8 unidades G) preço unit: R$ 185,00 preço total: R$ 1.480,00 20 unidades de espreguiçadeiras p/ piscina preço unit: R$ 55,00 preço total: R$ 1.100,00 4 capas para Puff Cubo da praia preço unit: R$ 50,00 preço total: R$ 200,00 1 capa de revestimento para Puff Grande da praia com encostos preço unit: R$ 230,00 preço total: R$ 230,00 45 consertos de peças diversas preço unit: 2,50 preço total: R$ 112,50 20 assentos p/ cadeiras do restaurante preço unit: R$ 48,00 preço total: R$ 960,00 TOTAL GERAL: R$ 4.082,50</t>
  </si>
  <si>
    <t>23037091219635965000189000000000020826072422213598</t>
  </si>
  <si>
    <t>24084433000130</t>
  </si>
  <si>
    <t>ECOLAV SERVICOS DE LAVANDERIA LTDA</t>
  </si>
  <si>
    <t>4569792</t>
  </si>
  <si>
    <t>3541</t>
  </si>
  <si>
    <t>141001 - LAVANDERIAS</t>
  </si>
  <si>
    <t>LAVAGEM DE ENXOVAL HOTELEIRO PERÍODO: 16 a 30/06/2026 VENCIMENTO: 15/07/2026. VALOR APROXIMADO DOS TRIBUTOS (18,45%) - R$ 7.411,43 FONTE: IBPT</t>
  </si>
  <si>
    <t>23044001224084433000130000000000354126070301331043</t>
  </si>
  <si>
    <t>3540</t>
  </si>
  <si>
    <t>LAVAGEM DE ENXOVAL HOTELEIRO PERÍODO: 16 a 30/06/2026. VALOR APROXIMADO DOS TRIBUTOS (18,45%) - R$ 7.411,43 FONTE: IBPT</t>
  </si>
  <si>
    <t>Evento de Cancelamento de NFS-e</t>
  </si>
  <si>
    <t>24.084.433/0001-30</t>
  </si>
  <si>
    <t>06/07/2026 às 14:13:49-00:00</t>
  </si>
  <si>
    <t>Cancelada</t>
  </si>
  <si>
    <t>23044001224084433000130000000000354026070318216230</t>
  </si>
  <si>
    <t>60216748000158</t>
  </si>
  <si>
    <t>60.216.748 JOSE LUCIANO DE OLIVEIRA FILHO</t>
  </si>
  <si>
    <t>10</t>
  </si>
  <si>
    <t>150307 - Locação de bens e equipamentos em geral.</t>
  </si>
  <si>
    <t>Referente às datas: 02, 04, 09, 11, 16, 18, 23, 25 e 30/07. Dados bancários para pagamento: Banco do Brasil Ag 1295-5 CC 61.008-9 CPF 034.557.483-41 pix</t>
  </si>
  <si>
    <t>23044002260216748000158000000000003826076790768048</t>
  </si>
  <si>
    <t>73431686001030</t>
  </si>
  <si>
    <t>KONTIK FRANSTUR VIAGENS E TURISMO LTDA</t>
  </si>
  <si>
    <t>28963199</t>
  </si>
  <si>
    <t>3971578</t>
  </si>
  <si>
    <t>São Paulo/SP</t>
  </si>
  <si>
    <t>090201 - Agenciamento e intermediação de programas de turismo, passeios, viagens, excursões, hospedagens e co</t>
  </si>
  <si>
    <t>HOSPEDAGEM - RLOC: 5QEMPC - PAX: ALAIRSON GONCALVES FILHO - ENTRADA: 27/10/2025 - SAIDA: 28/10/ 2025. R$ 135,20 Valor aproximado da Carga Tributaria da NF: R$ 23,70</t>
  </si>
  <si>
    <t>35503081273431686001030000000397157826073253048896</t>
  </si>
  <si>
    <t>52239263000151</t>
  </si>
  <si>
    <t>CHFTEC SISTEMAS E SERVICOS LTDA</t>
  </si>
  <si>
    <t>8517827</t>
  </si>
  <si>
    <t>371</t>
  </si>
  <si>
    <t>140101 - REPARAÇÃO E MANUTENÇÃO DE COMPUTADORES E DE EQUIPAMENTOS PERIFERICOS</t>
  </si>
  <si>
    <t>Reparos e Manutenção do Software.</t>
  </si>
  <si>
    <t>23044001252239263000151000000000037126070762576270</t>
  </si>
  <si>
    <t>19991914000190</t>
  </si>
  <si>
    <t>JOSUE DOS SANTOS SEVERO ME</t>
  </si>
  <si>
    <t>10644024</t>
  </si>
  <si>
    <t>50</t>
  </si>
  <si>
    <t>071002 - MANUTENÇÃO ELETRICA</t>
  </si>
  <si>
    <t>Serviço de Manutenção corretiva dos circuios do sistema da recpção e do jardim BANCO BRADESCO AG 0624-6 CONTA 0016866-1 PIX 19.991.914/0001-90 JOSUE SEVERO</t>
  </si>
  <si>
    <t>23044001219991914000190000000000005026070650436777</t>
  </si>
  <si>
    <t>41338570000173</t>
  </si>
  <si>
    <t>LIMP&amp;SERVICE COMERCIO E SERVICOS DE PRODUTOS DE LIMPEZA EM GERAL LTDA</t>
  </si>
  <si>
    <t>196</t>
  </si>
  <si>
    <t>São Gonçalo do Amarante/CE</t>
  </si>
  <si>
    <t>141001 - 14.10 - TINTURARIA E LAVANDERIA.</t>
  </si>
  <si>
    <t>LIMPEZA E HIGIENIZAÇÃO DE 6 POLTRONAS ESTOFADAS</t>
  </si>
  <si>
    <t>DADOS PARA PAGAMENTO: CORA SDC 403 AGÊNCIA 0001 CONTA: 2634625-7 PIX: 85981842733 LIMPSERVICE LAVANDERIA</t>
  </si>
  <si>
    <t>23124031241338570000173000000000019626070008055994</t>
  </si>
  <si>
    <t>09375740000187</t>
  </si>
  <si>
    <t>EXPEDIA DO BRASIL AGENCIA DE VIAGENS E TURISMO LTDA</t>
  </si>
  <si>
    <t>40267539</t>
  </si>
  <si>
    <t>664112</t>
  </si>
  <si>
    <t>Compensacao para Expedia de Reservas de Hotel Collect no periodo de 17-06-2026 - 19-06-2026 para 1 reservas relativas a Carmel Cumbuco Resort 11734793. Para informacoes como detalhes de reserva e historico completo da conta, visite www.ExpediaPartnerCentral.com . Se voce tiver duvidas sobre esta nota fiscal, entre em contato conosco pelo Expedia Group Partner Central na aba Fale Conosco ou pelo numero 0800 047 4640, apos continuar no atendimento em Portugues, selecione a opcao 1 para Suporte Financeiro , pressione 3 para falar com nossa equipe de Collections. Obrigado por ser um valioso parceiro para nos. Instrucoes de pagamento: Utilize o boleto bancario do Bank of America Merrill Lynch. Outra copia pode ser encontrada com a nota fiscal correspondente na pagina de "Faturas" deste Portal. Informacoes fiscais: A operacao esta sujeita a incidencia do Imposto de Renda Retido na Fonte (IRRF), nos termos do Art. 718 do RIR/2018 e do Parecer Normativo CST n 37/87, sendo a Expedia responsavel pelo recolhimento do referido imposto, quando aplicavel. Os valores destacados a titulo de PIS e COFINS nesta nota fiscal correspondem a incidencia desses tributos sobre a receita. Recomendamos que os dados cadastrais sejam mantidos atualizados regularmente, a fim de evitar eventuais inconsistencias nos documentos fiscais.</t>
  </si>
  <si>
    <t>35503081209375740000187000000066411226079942922297</t>
  </si>
  <si>
    <t>18021621000117</t>
  </si>
  <si>
    <t>MFL - TURISMO E TECNOLOGIA LTDA</t>
  </si>
  <si>
    <t>309769</t>
  </si>
  <si>
    <t>Porto Alegre/RS</t>
  </si>
  <si>
    <t>010501 - Licenciamento ou cessão de direito de uso de programas de computação.</t>
  </si>
  <si>
    <t>TAXA DE UTILIZACAO DOS SERVICOS NO PORTAL B2B RESERVAS (RESERVAS COM CHECK-IN ATE 30/06/2026).</t>
  </si>
  <si>
    <t>PORTO ALEGRE - RS;Valores do ICMS Interestadual conforme Emenda Constitucional 87/2015: UF Destino: R$ 0,00;Valor IBS: 0,11 + CBS: 0,98</t>
  </si>
  <si>
    <t>43149022218021621000117000000004768126077814093066</t>
  </si>
  <si>
    <t>06/2026</t>
  </si>
  <si>
    <t>10625931000139</t>
  </si>
  <si>
    <t>BOOKING.COM BRASIL SERVICOS DE RESERVA DE HOTEIS LTDA.</t>
  </si>
  <si>
    <t>38821621</t>
  </si>
  <si>
    <t>5959549</t>
  </si>
  <si>
    <t>Agências/Intermediação de Turismo COMISSÃO REFERENTE A RESERVAS Inv. 20983265 Código do Cliente: 01440021 Valor Líquido a pagar R$ 63719.09 VALOR DAS VENDAS: R$ 404309.05</t>
  </si>
  <si>
    <t>35503081210625931000139000000595954926072168803612</t>
  </si>
  <si>
    <t>61151728000109</t>
  </si>
  <si>
    <t>ALICIA BRANDAO PSICOLOGIA LTDA</t>
  </si>
  <si>
    <t>10339744</t>
  </si>
  <si>
    <t>15</t>
  </si>
  <si>
    <t>080201 - TREINAMENTO EM DESENVOLVIMENTO PROFISSIONAL E GERENCIAL</t>
  </si>
  <si>
    <t>Atendimento psicológico</t>
  </si>
  <si>
    <t>23044001261151728000109000000000001526070849194532</t>
  </si>
  <si>
    <t>52711097000144</t>
  </si>
  <si>
    <t>GERADOR VIAGENS E TURISMO LTDA</t>
  </si>
  <si>
    <t>15703570011</t>
  </si>
  <si>
    <t>45</t>
  </si>
  <si>
    <t>Belo Horizonte/MG</t>
  </si>
  <si>
    <t>090201 - Agenciamento e intermediação de programas de turismo, passeios, viagens, excursões, hospedagens e congêneres.</t>
  </si>
  <si>
    <t>Recebimento de comissionamento de reserva de hospedagem 20 a 25/06 Maria da Graça Perri Franco do Nascimento 27/01/1955 - CPF. 029.522.278-61</t>
  </si>
  <si>
    <t>31062002252711097000144000000000007426072862221744</t>
  </si>
  <si>
    <t>37963134000118</t>
  </si>
  <si>
    <t>ACLAB ANALISES AMBIENTAIS LTDA</t>
  </si>
  <si>
    <t>7979550</t>
  </si>
  <si>
    <t>8814</t>
  </si>
  <si>
    <t>170901 - TESTES E ANALISES TECNICAS DE PRODUTOS NÃO SUJEITOS À VIGILÂNCIA SANITÁRIA</t>
  </si>
  <si>
    <t>AMBIENTAL ANALISE R 414,50 CARMEL WIND RESORT LTDA _ PROPOSTA : 2936 _ VENCIMENTO : 09_07</t>
  </si>
  <si>
    <t>23044001237963134000118000000000881426070396590870</t>
  </si>
  <si>
    <t>609533</t>
  </si>
  <si>
    <t>100202 - ATIVIDADES DE INTERMEDIAÇÃO E AGENCIAMENTO DE SERVIÇOS E NEGÓCIOS EM GERAL, EXCETO IMOBILIÁRIOS</t>
  </si>
  <si>
    <t>TARIFA DE ADMINISTRACAO DO SISTEMA DE GESTAO DE VT E TARIFA CARTAO ATIVO 23,00% DA REDUCAO: R$ 741,39 TARIFA CARTAO ATIVO: R$ ,00 VENCIMENTO: 12/07/2026.</t>
  </si>
  <si>
    <t>23044001209370323000141000000060953326070977670731</t>
  </si>
  <si>
    <t>260000000000114</t>
  </si>
  <si>
    <t>23042851264352879000113260000000011426070001107802</t>
  </si>
  <si>
    <t>260000000000113</t>
  </si>
  <si>
    <t>23042851264352879000113260000000011326070001107388</t>
  </si>
  <si>
    <t>260000000000112</t>
  </si>
  <si>
    <t>23042851264352879000113260000000011226070001107007</t>
  </si>
  <si>
    <t>49111794000150</t>
  </si>
  <si>
    <t>SERVICOS HIDRO AMBIENTAL LTDA</t>
  </si>
  <si>
    <t>1821513</t>
  </si>
  <si>
    <t>106</t>
  </si>
  <si>
    <t>990101 - 9901 / LOCAÇÃO DE BENS MÓVEIS</t>
  </si>
  <si>
    <t>NFe referente a ORDEM DE SERVIÇO 139 Locação de ETE 12 Meses, Operação de ETE Meses. 11 de 12 Parcela(s) Com Desconto da 1 Parcela de 5 dos 25 Mil Enviar para Emails. contratoscarmelhoteis.com.br;alexandre.pinheirocarmelhoteis.com.br;mariana.peixotocarmelhoteis.com.br</t>
  </si>
  <si>
    <t>23076501249111794000150000000000010626070418176649</t>
  </si>
  <si>
    <t>30013192000131</t>
  </si>
  <si>
    <t>APICE SERVICE SOLUCOES LTDA</t>
  </si>
  <si>
    <t>4830920</t>
  </si>
  <si>
    <t>2080</t>
  </si>
  <si>
    <t>990101 - ALUGUEL DE MAQUINAS E EQUIPAMENTOS PARA ESCRITORIO</t>
  </si>
  <si>
    <t>LOCAÇÃO DE IMPRESSORAS MULTIFUNCONAIS MONOCROMÁTICAS E POLICROMÁTICAS; LOCAÇÃO DE IMPRESSORA TERMICA; LOCAÇÃO DE FRAGMENTADORA DE PAPEIS</t>
  </si>
  <si>
    <t>23044001230013192000131000000000208026070324515392</t>
  </si>
  <si>
    <t>39744143000143</t>
  </si>
  <si>
    <t>BEE2PAY TRAVEL SOLUTIONS S.A</t>
  </si>
  <si>
    <t>67724272</t>
  </si>
  <si>
    <t>109259</t>
  </si>
  <si>
    <t>010701 - Suporte técnico em informática, inclusive instalação, configuração e manutenção de programas de comp</t>
  </si>
  <si>
    <t>BeeSafe - Automation - Mensalidade Mes de Junho de 2026</t>
  </si>
  <si>
    <t>35503081239744143000143000000010925926079930990911</t>
  </si>
  <si>
    <t>60062296000105</t>
  </si>
  <si>
    <t>OMNIBEES SOLUCOES EM TECNOLOGIA E MARKETING HOTELEIRO LTDA.</t>
  </si>
  <si>
    <t>96020334</t>
  </si>
  <si>
    <t>566073</t>
  </si>
  <si>
    <t>BeeDirect - Motor de Reservas - Mensal Fee Mes de Junho 2026</t>
  </si>
  <si>
    <t>35503081260062296000105000000056607326078431321974</t>
  </si>
  <si>
    <t>38004456000100</t>
  </si>
  <si>
    <t>SMART SERVICE E MANUTENCOES LTDA</t>
  </si>
  <si>
    <t>0209756</t>
  </si>
  <si>
    <t>346</t>
  </si>
  <si>
    <t>140101 - Reparaçao de bicicletas, triciclos e outros veiculos nao-motorizados</t>
  </si>
  <si>
    <t>Data - VALOR - 01.07.26 m124087486 R$ 73,00 01.07.26 m124115034 R$ 143,00 01.07.26 m125022109 R$ 148,00 01.07.26 m124087739 R$ 388,00 01.07.26m125022168 R$ 373,00 01.07.26m125022171 R$ 88,00 01.07.26m125022196 R$ 113,00 01.07.26m125022032 R$ 173,00 01.07.26m125021983 R$ 283,00</t>
  </si>
  <si>
    <t>23037091238004456000100000000000034626078754779102</t>
  </si>
  <si>
    <t>38404750000100</t>
  </si>
  <si>
    <t>CMSOL TECNOLOGIA DA INFORMACAO S.A</t>
  </si>
  <si>
    <t>4895</t>
  </si>
  <si>
    <t>Rio de Janeiro/RJ</t>
  </si>
  <si>
    <t>010101 - Análise e desenvolvimento de sistemas.</t>
  </si>
  <si>
    <t>Prestacao de Servico SAAS - Sistema TOTALFLEX = R$ 3.313,16|SaaS - Gestao de Contratos = R$ 599,02|SaaS - BI - Business Intelligence = R$ 1.815,84|</t>
  </si>
  <si>
    <t>1 - Operação Tributável com Alíquota Básica</t>
  </si>
  <si>
    <t>3 - PIS/COFINS/CSLL Retidos</t>
  </si>
  <si>
    <t>33045572238404750000100000000000063726078657026354</t>
  </si>
  <si>
    <t>5282</t>
  </si>
  <si>
    <t>ASSESSORIA TECNICA EM SEGURANÇA DO TRABALHO BANCO DO BRASIL FAVORECIDO: ICONE ASSESSORIA TECNICA EM SEG. DO TRABALHO LTDA AG. 2917-3 C/C 231191-7 Chave PIX 09.235.172/0001-19</t>
  </si>
  <si>
    <t>23044001209235172000119000000000528226070956265489</t>
  </si>
  <si>
    <t>42524476000171</t>
  </si>
  <si>
    <t>ISAAC CORREIA MOTA</t>
  </si>
  <si>
    <t>6597998</t>
  </si>
  <si>
    <t>112</t>
  </si>
  <si>
    <t>serviço de manutenção corretiva notebook dell 1- reparo na carcaça base inferior do notebook e troca do jack conector de alimentação substituição da memoria</t>
  </si>
  <si>
    <t>23044001242524476000171000000000011226070988081163</t>
  </si>
  <si>
    <t>46</t>
  </si>
  <si>
    <t>Serviço de manutenção corretiva do circuito do Restaurante BANCO BRADESCO AG 0624-6 CONTA 0016866-1 PIX 19.991.914/0001-90 JOSUE DOS SANTOS SEVERO</t>
  </si>
  <si>
    <t>23044001219991914000190000000000004626070466568061</t>
  </si>
  <si>
    <t>10921065000123</t>
  </si>
  <si>
    <t>NUTRI &amp; SANO CONSULTORIA E ASSESSORIA LTDA</t>
  </si>
  <si>
    <t>39312453</t>
  </si>
  <si>
    <t>21087</t>
  </si>
  <si>
    <t>041001 - Nutrição.</t>
  </si>
  <si>
    <t>Valor Bruto R$2.310,17 IR R$34,65 Imposto 4,65% R$107,42 Valor Liquido R$2.168,10 Percentual de 15,56% sobre valor bruto Valor aproximado dos produtos conforme tabela IBPT R$359,46</t>
  </si>
  <si>
    <t>35503081210921065000123000000002108726071371939652</t>
  </si>
  <si>
    <t>19394761000101</t>
  </si>
  <si>
    <t>SIMPLE PLANEJAMENTO E GESTAO LTDA - ME</t>
  </si>
  <si>
    <t>001041</t>
  </si>
  <si>
    <t>260000000000146</t>
  </si>
  <si>
    <t>Jaboticatubas/MG</t>
  </si>
  <si>
    <t>170101 - Assessoria ou consultoria de qualquer natureza, não contida em outros itens desta lista.</t>
  </si>
  <si>
    <t>Consultoria em gestão estratégica em alimentos e bebidas.</t>
  </si>
  <si>
    <t>0032748</t>
  </si>
  <si>
    <t>31346081219394761000101260000000014626070000470081</t>
  </si>
  <si>
    <t>62114739000181</t>
  </si>
  <si>
    <t>ARTECH SECURITY SYSTEM LTDA</t>
  </si>
  <si>
    <t>10467718</t>
  </si>
  <si>
    <t>204</t>
  </si>
  <si>
    <t>990101 - ALUGUEL DE OUTRAS MÁQUINAS E EQUIPAMENTOS COMERCIAIS E INDUSTRIAIS NÃO ESPECIFICADOS ANTERIORMENTE, SEM OPERADOR, EXCETO LOCAÇÃO DE APARELHOS E EQUIPAMENTOS DE TV, SOM E VÍDEO</t>
  </si>
  <si>
    <t>Aluguel do sistema cftv</t>
  </si>
  <si>
    <t>23044001262114739000181000000000020426070549551417</t>
  </si>
  <si>
    <t>21410652000174</t>
  </si>
  <si>
    <t>MCN &amp; BENEVIDES LOCACAO E SERVICOS LTDA EPP</t>
  </si>
  <si>
    <t>2989476</t>
  </si>
  <si>
    <t>19944</t>
  </si>
  <si>
    <t>LOCACAO DE BENS MOVEIS VALOR APROXIMADO - TRIBUTO FEDERAL: R$ 270,00 (11,25 %) FONTE: SECRETARIA DA MICRO E PEQUENA EMPRESA.</t>
  </si>
  <si>
    <t>23044001221410652000174000000001994426070579360863</t>
  </si>
  <si>
    <t>58557476000108</t>
  </si>
  <si>
    <t>MDR VV ASSESSORIA EM TURISMO LTDA</t>
  </si>
  <si>
    <t>16177880011</t>
  </si>
  <si>
    <t>3128</t>
  </si>
  <si>
    <t>900</t>
  </si>
  <si>
    <t>1 4 PLANO TURMALINA. 472,50 Trib aprox R$: 63,55 Federal, R$: 0,00 Estadual e R$: 14,32 Municipal Fonte: IBPT/empresometro.com.br 92589A</t>
  </si>
  <si>
    <t>Trib aprox R$: 63,55 Federal, R$: 0,00 Estadual e R$: 14,32 Municipal Fonte: IBPT/empresometro.com.br 92589A</t>
  </si>
  <si>
    <t>31062002258557476000108000000000219626075795927492</t>
  </si>
  <si>
    <t>47537509000131</t>
  </si>
  <si>
    <t>DAMA DOS VINHOS BRASILEIROS COMERCIO E SERVICOS LTDA</t>
  </si>
  <si>
    <t>7701594</t>
  </si>
  <si>
    <t>98</t>
  </si>
  <si>
    <t>080201 - OUTRAS ATIVIDADES DE ENSINO NÃO ESPECIFICADAS ANTERIORMENTE</t>
  </si>
  <si>
    <t>SERVIÇO DE ETIQUETAGEM. DADOS BANCÁRIO: DAMA DOS VINHOS BANCO ITAU AG 1587 C/C: 98750-2 VENCIMENTO: 14/ 07 / 2026</t>
  </si>
  <si>
    <t>23044001247537509000131000000000009826070809578054</t>
  </si>
  <si>
    <t>13157606000187</t>
  </si>
  <si>
    <t>NPX COMERCIO E SERVICOS DE INFORMATICA LTDA</t>
  </si>
  <si>
    <t>2656809</t>
  </si>
  <si>
    <t>23891</t>
  </si>
  <si>
    <t>010302 - PROVEDORES DE VOZ SOBRE PROTOCOLO INTERNET - VOIP</t>
  </si>
  <si>
    <t>Franquia - R$ 0,00 Consumo (Franquia) - R$ 2,83</t>
  </si>
  <si>
    <t>23044001213157606000187000000002389126070707913508</t>
  </si>
  <si>
    <t>12</t>
  </si>
  <si>
    <t>orientação psicologica</t>
  </si>
  <si>
    <t>61.151.728/0001-09</t>
  </si>
  <si>
    <t>03/07/2026 às 17:34:54-00:00</t>
  </si>
  <si>
    <t>23044001261151728000109000000000001226070745862279</t>
  </si>
  <si>
    <t>29999564000161</t>
  </si>
  <si>
    <t>ASKSUITE TECNOLOGIA S.A.</t>
  </si>
  <si>
    <t>196963</t>
  </si>
  <si>
    <t>8000</t>
  </si>
  <si>
    <t>Florianópolis/SC</t>
  </si>
  <si>
    <t>Nota fiscal da Fatura 822977907. Descrição dos Serviços: MENSALIDADE REFERENTE AO LICENCIAMENTO DE - ASKSUITE CHATBOT HOTELEIRO - ATENDIMENTO 24H. Para mais informações acesse: https://www.asaas.com/i/ykmwqxuy71evdohp.</t>
  </si>
  <si>
    <t>0 - PIS/COFINS/CSLL Não Retidos</t>
  </si>
  <si>
    <t>Valor aproximado de tributos incidentes nessa nota fiscal R$ 66,65 (13,33%). Conforme Lei 12.741/2012 (Lei da Transparência Fiscal).</t>
  </si>
  <si>
    <t>42054072229999564000161000000003397026070615797399</t>
  </si>
  <si>
    <t>08668202000118</t>
  </si>
  <si>
    <t>ZOOX SOLUCOES EM TECNOLOGIA LTDA</t>
  </si>
  <si>
    <t>113504</t>
  </si>
  <si>
    <t>010701 - Suporte técnico em informática, inclusive instalação, configuração e manutenção de programas de computação e bancos de dados.</t>
  </si>
  <si>
    <t>SUPORTE E MANUTENCAO DO PROGRAMA - RECORRENTE - ZOOXWIFI = R$ 562,76|</t>
  </si>
  <si>
    <t>33045572208668202000118000000000686726079519768740</t>
  </si>
  <si>
    <t>2320</t>
  </si>
  <si>
    <t>1.000 UN.: PORTA CHAVE CARTÃO = R$ 620,00 ORDEM DE COMPRA 94592</t>
  </si>
  <si>
    <t>23044001201864723000100000000000232026070461198670</t>
  </si>
  <si>
    <t>608742</t>
  </si>
  <si>
    <t>LIBER COMBUSTIVEL: 1x71,10 = 71,10 LIBER COMBUSTIVEL: 1x150,10 = 150,10 LIBER COMBUSTIVEL: 1x1.100,00 = 1.100,00 LIBER COMBUSTIVEL: 1x1.007,50 = 1.007,50 LIBER COMBUSTIVEL: 1x158,00 = 158,00 LIBER COMBUSTIVEL: 3x173,80 = 521,40 LIBER COMBUSTIVEL: 5x181,70 = 908,50 LIBER COMBUSTIVEL: 1x190,40 = 190,40 LIBER COMBUSTIVEL: 2x189,60 = 379,20 LIBER COMBUSTIVEL: 1x197,50 = 197,50 LIBER COMBUSTIVEL: 5x205,40 = 1.027,00 LIBER COMBUSTIVEL: 1x211,20 = 211,20 LIBER COMBUSTIVEL: 1x213,30 = 213,30 LIBER COMBUSTIVEL: 1x237,00 = 237,00 LIBER COMBUSTIVEL: 1x240,00 = 240,00 LIBER COMBUSTIVEL: 1x249,60 = 249,60 LIBER COMBUSTIVEL: 2x284,40 = 568,80 LIBER COMBUSTIVEL: 3x331,80 = 995,40 LIBER COMBUSTIVEL: 1x340,50 = 340,50 LIBER COMBUSTIVEL: 4x363,40 = 1.453,60 LIBER COMBUSTIVEL: 2x379,20 = 758,40 LIBER COMBUSTIVEL: 2x395,00 = 790,00 LIBER COMBUSTIVEL: 3x410,80 = 1.232,40 LIBER COMBUSTIVEL: 1x431,30 = 431,30 LIBER COMBUSTIVEL: 1x450,00 = 450,00 LIBER COMBUSTIVEL: 2x454,00 = 908,00 LIBER COMBUSTIVEL: 4x544,80 = 2.179,20 LIBER COMBUSTIVEL: 2x567,50 = 1.135,00 LIBER COMBUSTIVEL: 3x590,20 = 1.770,60 LIBER COMBUSTIVEL: 2x612,90 = 1.225,80 LIBER COMBUSTIVEL: 1x708,00 = 708,00 TARIFA DE ADMINISTRACAO COMBUSTIVEL: 60x0,05 = 10,97 EMISSAO DE SEGUNDA VIA DE CARTAO BENEFICIOS: 3x7,00 = 21,00 TARIFA DE EMISSAO DE FATURA LIBER COMBUSTIVEL: 1x0,20 = 0,20 VENCIMENTO 26/07/2026 NRO PEDIDO: 490667</t>
  </si>
  <si>
    <t>23044001209370323000141000000060874226070925218565</t>
  </si>
  <si>
    <t>57746455001492</t>
  </si>
  <si>
    <t>MEDISERVICE OPERADORA DE PLANOS DE SAUDE S.A.</t>
  </si>
  <si>
    <t>11005149</t>
  </si>
  <si>
    <t>7227</t>
  </si>
  <si>
    <t>042201 - PLANOS DE SAUDE</t>
  </si>
  <si>
    <t>Serv de Operacao de Planos Odontologicos 7 2026.</t>
  </si>
  <si>
    <t>23044001257746455001492000000000722726070873880092</t>
  </si>
  <si>
    <t>TOTAL (57 notas)</t>
  </si>
  <si>
    <t>Qtd</t>
  </si>
  <si>
    <t>Valor (R$)</t>
  </si>
  <si>
    <t>Substituída</t>
  </si>
  <si>
    <t>Total</t>
  </si>
  <si>
    <t>Gerado em:</t>
  </si>
  <si>
    <t>13/07/2026, 15:47:51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</si>
</sst>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quot;%&quot;"/>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14" fontId="0" fillId="0" borderId="0" xfId="0" applyNumberFormat="1"/>
    <xf numFmtId="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59"/>
  <sheetViews>
    <sheetView tabSelected="1" workbookViewId="0">
      <pane ySplit="1" topLeftCell="A2" activePane="bottomLeft" state="frozen"/>
      <selection pane="bottomLeft" activeCell="A2" sqref="A2"/>
    </sheetView>
  </sheetViews>
  <sheetFormatPr defaultRowHeight="15" x14ac:dyDescent="0.25"/>
  <cols>
    <col min="1" max="1" width="12.875" customWidth="1"/>
    <col min="2" max="2" width="13.875" customWidth="1"/>
    <col min="3" max="3" width="11.875" customWidth="1"/>
    <col min="4" max="4" width="20.875" customWidth="1"/>
    <col min="5" max="5" width="42.875" customWidth="1"/>
    <col min="6" max="6" width="20.875" customWidth="1"/>
    <col min="7" max="7" width="42.875" customWidth="1"/>
    <col min="8" max="8" width="18.875" customWidth="1"/>
    <col min="9" max="9" width="16.875" customWidth="1"/>
    <col min="10" max="10" width="30.875" customWidth="1"/>
    <col min="11" max="11" width="8.875" customWidth="1"/>
    <col min="12" max="12" width="9.875" customWidth="1"/>
    <col min="13" max="13" width="16.875" customWidth="1"/>
    <col min="14" max="14" width="22.875" customWidth="1"/>
    <col min="15" max="15" width="20.875" customWidth="1"/>
    <col min="16" max="17" width="16.875" customWidth="1"/>
    <col min="18" max="18" width="14.875" customWidth="1"/>
    <col min="19" max="19" width="15.875" customWidth="1"/>
    <col min="20" max="20" width="18.875" customWidth="1"/>
    <col min="21" max="22" width="44.875" customWidth="1"/>
    <col min="23" max="23" width="18.875" customWidth="1"/>
    <col min="24" max="24" width="16.875" customWidth="1"/>
    <col min="25" max="26" width="14.875" customWidth="1"/>
    <col min="27" max="28" width="16.875" customWidth="1"/>
    <col min="29" max="29" width="22.875" customWidth="1"/>
    <col min="30" max="30" width="12.875" customWidth="1"/>
    <col min="31" max="32" width="20.875" customWidth="1"/>
    <col min="33" max="34" width="18.875" customWidth="1"/>
    <col min="35" max="35" width="50.875" customWidth="1"/>
    <col min="36" max="36" width="42.875" customWidth="1"/>
    <col min="37" max="37" width="20.875" customWidth="1"/>
    <col min="38" max="39" width="24.875" customWidth="1"/>
    <col min="40" max="40" width="12.875" customWidth="1"/>
    <col min="41" max="41" width="52.875" customWidth="1"/>
  </cols>
  <sheetData>
    <row r="1" spans="1:41"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ht="15.75" x14ac:dyDescent="0.25">
      <c r="A2">
        <v>5296</v>
      </c>
      <c r="B2" s="1">
        <v>46214</v>
      </c>
      <c r="C2" t="s">
        <v>41</v>
      </c>
      <c r="D2" t="s">
        <v>42</v>
      </c>
      <c r="E2" t="s">
        <v>43</v>
      </c>
      <c r="F2" t="s">
        <v>44</v>
      </c>
      <c r="G2" t="s">
        <v>45</v>
      </c>
      <c r="H2" s="2">
        <v>608.70000000000005</v>
      </c>
      <c r="I2" t="s">
        <v>46</v>
      </c>
      <c r="J2" t="s">
        <v>47</v>
      </c>
      <c r="K2" t="s">
        <v>48</v>
      </c>
      <c r="L2" t="s">
        <v>49</v>
      </c>
      <c r="M2" t="s">
        <v>50</v>
      </c>
      <c r="N2" t="s">
        <v>51</v>
      </c>
      <c r="O2" t="s">
        <v>52</v>
      </c>
      <c r="P2" s="2">
        <v>0</v>
      </c>
      <c r="Q2" s="2">
        <v>608.70000000000005</v>
      </c>
      <c r="R2" s="3">
        <v>2.84</v>
      </c>
      <c r="S2" s="2">
        <v>17.29</v>
      </c>
      <c r="T2" t="s">
        <v>53</v>
      </c>
      <c r="U2" t="s">
        <v>54</v>
      </c>
      <c r="V2" t="s">
        <v>55</v>
      </c>
      <c r="W2" t="s">
        <v>56</v>
      </c>
      <c r="X2" s="2">
        <v>0</v>
      </c>
      <c r="Y2" s="3">
        <v>0</v>
      </c>
      <c r="Z2" s="2">
        <v>0</v>
      </c>
      <c r="AA2" s="3">
        <v>0</v>
      </c>
      <c r="AB2" s="2">
        <v>0</v>
      </c>
      <c r="AC2" t="s">
        <v>56</v>
      </c>
      <c r="AD2" s="2">
        <v>0</v>
      </c>
      <c r="AE2" s="2">
        <v>0</v>
      </c>
      <c r="AF2" s="2">
        <v>0</v>
      </c>
      <c r="AG2" t="s">
        <v>57</v>
      </c>
      <c r="AH2" t="s">
        <v>58</v>
      </c>
      <c r="AI2" t="s">
        <v>58</v>
      </c>
      <c r="AJ2" t="s">
        <v>57</v>
      </c>
      <c r="AK2" t="s">
        <v>57</v>
      </c>
      <c r="AL2" t="s">
        <v>57</v>
      </c>
      <c r="AM2" t="s">
        <v>57</v>
      </c>
      <c r="AN2" t="s">
        <v>59</v>
      </c>
      <c r="AO2" t="s">
        <v>60</v>
      </c>
    </row>
    <row r="3" spans="1:41" ht="15.75" x14ac:dyDescent="0.25">
      <c r="A3">
        <v>30707</v>
      </c>
      <c r="B3" s="1">
        <v>46213</v>
      </c>
      <c r="C3" t="s">
        <v>41</v>
      </c>
      <c r="D3" t="s">
        <v>61</v>
      </c>
      <c r="E3" t="s">
        <v>62</v>
      </c>
      <c r="F3" t="s">
        <v>44</v>
      </c>
      <c r="G3" t="s">
        <v>45</v>
      </c>
      <c r="H3" s="2">
        <v>2168.8000000000002</v>
      </c>
      <c r="I3" t="s">
        <v>63</v>
      </c>
      <c r="J3" t="s">
        <v>64</v>
      </c>
      <c r="K3" t="s">
        <v>65</v>
      </c>
      <c r="L3" t="s">
        <v>49</v>
      </c>
      <c r="M3" t="s">
        <v>50</v>
      </c>
      <c r="N3" t="s">
        <v>51</v>
      </c>
      <c r="O3" t="s">
        <v>52</v>
      </c>
      <c r="P3" s="2">
        <v>0</v>
      </c>
      <c r="Q3" s="2">
        <v>2168.8000000000002</v>
      </c>
      <c r="R3" s="3">
        <v>5</v>
      </c>
      <c r="S3" s="2">
        <v>108.44</v>
      </c>
      <c r="T3" t="s">
        <v>53</v>
      </c>
      <c r="U3" t="s">
        <v>66</v>
      </c>
      <c r="V3" t="s">
        <v>67</v>
      </c>
      <c r="W3" t="s">
        <v>56</v>
      </c>
      <c r="X3" s="2">
        <v>0</v>
      </c>
      <c r="Y3" s="3">
        <v>0</v>
      </c>
      <c r="Z3" s="2">
        <v>0</v>
      </c>
      <c r="AA3" s="3">
        <v>0</v>
      </c>
      <c r="AB3" s="2">
        <v>0</v>
      </c>
      <c r="AC3" t="s">
        <v>56</v>
      </c>
      <c r="AD3" s="2">
        <v>21.68</v>
      </c>
      <c r="AE3" s="2">
        <v>100.84</v>
      </c>
      <c r="AF3" s="2">
        <v>238.56</v>
      </c>
      <c r="AG3" t="s">
        <v>57</v>
      </c>
      <c r="AH3" t="s">
        <v>58</v>
      </c>
      <c r="AI3" t="s">
        <v>58</v>
      </c>
      <c r="AJ3" t="s">
        <v>57</v>
      </c>
      <c r="AK3" t="s">
        <v>57</v>
      </c>
      <c r="AL3" t="s">
        <v>57</v>
      </c>
      <c r="AM3" t="s">
        <v>57</v>
      </c>
      <c r="AN3" t="s">
        <v>59</v>
      </c>
      <c r="AO3" t="s">
        <v>68</v>
      </c>
    </row>
    <row r="4" spans="1:41" ht="15.75" x14ac:dyDescent="0.25">
      <c r="A4">
        <v>2165</v>
      </c>
      <c r="B4" s="1">
        <v>46213</v>
      </c>
      <c r="C4" t="s">
        <v>41</v>
      </c>
      <c r="D4" t="s">
        <v>69</v>
      </c>
      <c r="E4" t="s">
        <v>70</v>
      </c>
      <c r="F4" t="s">
        <v>44</v>
      </c>
      <c r="G4" t="s">
        <v>45</v>
      </c>
      <c r="H4" s="2">
        <v>2010</v>
      </c>
      <c r="I4" t="s">
        <v>71</v>
      </c>
      <c r="J4" t="s">
        <v>47</v>
      </c>
      <c r="K4" t="s">
        <v>72</v>
      </c>
      <c r="L4" t="s">
        <v>49</v>
      </c>
      <c r="M4" t="s">
        <v>50</v>
      </c>
      <c r="N4" t="s">
        <v>51</v>
      </c>
      <c r="O4" t="s">
        <v>52</v>
      </c>
      <c r="P4" s="2">
        <v>0</v>
      </c>
      <c r="Q4" s="2">
        <v>2010</v>
      </c>
      <c r="R4" s="3">
        <v>5</v>
      </c>
      <c r="S4" s="2">
        <v>100.5</v>
      </c>
      <c r="T4" t="s">
        <v>53</v>
      </c>
      <c r="U4" t="s">
        <v>73</v>
      </c>
      <c r="V4" t="s">
        <v>74</v>
      </c>
      <c r="W4" t="s">
        <v>56</v>
      </c>
      <c r="X4" s="2">
        <v>0</v>
      </c>
      <c r="Y4" s="3">
        <v>0</v>
      </c>
      <c r="Z4" s="2">
        <v>0</v>
      </c>
      <c r="AA4" s="3">
        <v>0</v>
      </c>
      <c r="AB4" s="2">
        <v>0</v>
      </c>
      <c r="AC4" t="s">
        <v>56</v>
      </c>
      <c r="AD4" s="2">
        <v>0</v>
      </c>
      <c r="AE4" s="2">
        <v>0</v>
      </c>
      <c r="AF4" s="2">
        <v>0</v>
      </c>
      <c r="AG4" t="s">
        <v>57</v>
      </c>
      <c r="AH4" t="s">
        <v>58</v>
      </c>
      <c r="AI4" t="s">
        <v>58</v>
      </c>
      <c r="AJ4" t="s">
        <v>57</v>
      </c>
      <c r="AK4" t="s">
        <v>57</v>
      </c>
      <c r="AL4" t="s">
        <v>57</v>
      </c>
      <c r="AM4" t="s">
        <v>57</v>
      </c>
      <c r="AN4" t="s">
        <v>59</v>
      </c>
      <c r="AO4" t="s">
        <v>75</v>
      </c>
    </row>
    <row r="5" spans="1:41" ht="15.75" x14ac:dyDescent="0.25">
      <c r="A5">
        <v>2164</v>
      </c>
      <c r="B5" s="1">
        <v>46213</v>
      </c>
      <c r="C5" t="s">
        <v>41</v>
      </c>
      <c r="D5" t="s">
        <v>69</v>
      </c>
      <c r="E5" t="s">
        <v>70</v>
      </c>
      <c r="F5" t="s">
        <v>44</v>
      </c>
      <c r="G5" t="s">
        <v>45</v>
      </c>
      <c r="H5" s="2">
        <v>1314.63</v>
      </c>
      <c r="I5" t="s">
        <v>71</v>
      </c>
      <c r="J5" t="s">
        <v>47</v>
      </c>
      <c r="K5" t="s">
        <v>76</v>
      </c>
      <c r="L5" t="s">
        <v>49</v>
      </c>
      <c r="M5" t="s">
        <v>50</v>
      </c>
      <c r="N5" t="s">
        <v>51</v>
      </c>
      <c r="O5" t="s">
        <v>52</v>
      </c>
      <c r="P5" s="2">
        <v>0</v>
      </c>
      <c r="Q5" s="2">
        <v>1314.63</v>
      </c>
      <c r="R5" s="3">
        <v>5</v>
      </c>
      <c r="S5" s="2">
        <v>65.73</v>
      </c>
      <c r="T5" t="s">
        <v>53</v>
      </c>
      <c r="U5" t="s">
        <v>73</v>
      </c>
      <c r="V5" t="s">
        <v>77</v>
      </c>
      <c r="W5" t="s">
        <v>56</v>
      </c>
      <c r="X5" s="2">
        <v>0</v>
      </c>
      <c r="Y5" s="3">
        <v>0</v>
      </c>
      <c r="Z5" s="2">
        <v>0</v>
      </c>
      <c r="AA5" s="3">
        <v>0</v>
      </c>
      <c r="AB5" s="2">
        <v>0</v>
      </c>
      <c r="AC5" t="s">
        <v>56</v>
      </c>
      <c r="AD5" s="2">
        <v>0</v>
      </c>
      <c r="AE5" s="2">
        <v>0</v>
      </c>
      <c r="AF5" s="2">
        <v>0</v>
      </c>
      <c r="AG5" t="s">
        <v>57</v>
      </c>
      <c r="AH5" t="s">
        <v>58</v>
      </c>
      <c r="AI5" t="s">
        <v>58</v>
      </c>
      <c r="AJ5" t="s">
        <v>57</v>
      </c>
      <c r="AK5" t="s">
        <v>57</v>
      </c>
      <c r="AL5" t="s">
        <v>57</v>
      </c>
      <c r="AM5" t="s">
        <v>57</v>
      </c>
      <c r="AN5" t="s">
        <v>59</v>
      </c>
      <c r="AO5" t="s">
        <v>78</v>
      </c>
    </row>
    <row r="6" spans="1:41" ht="15.75" x14ac:dyDescent="0.25">
      <c r="A6">
        <v>2329</v>
      </c>
      <c r="B6" s="1">
        <v>46213</v>
      </c>
      <c r="C6" t="s">
        <v>41</v>
      </c>
      <c r="D6" t="s">
        <v>79</v>
      </c>
      <c r="E6" t="s">
        <v>80</v>
      </c>
      <c r="F6" t="s">
        <v>44</v>
      </c>
      <c r="G6" t="s">
        <v>45</v>
      </c>
      <c r="H6" s="2">
        <v>1845</v>
      </c>
      <c r="I6" t="s">
        <v>81</v>
      </c>
      <c r="J6" t="s">
        <v>47</v>
      </c>
      <c r="K6" t="s">
        <v>82</v>
      </c>
      <c r="L6" t="s">
        <v>49</v>
      </c>
      <c r="M6" t="s">
        <v>50</v>
      </c>
      <c r="N6" t="s">
        <v>51</v>
      </c>
      <c r="O6" t="s">
        <v>52</v>
      </c>
      <c r="P6" s="2">
        <v>0</v>
      </c>
      <c r="Q6" s="2">
        <v>1845</v>
      </c>
      <c r="R6" s="3">
        <v>2.74</v>
      </c>
      <c r="S6" s="2">
        <v>50.55</v>
      </c>
      <c r="T6" t="s">
        <v>53</v>
      </c>
      <c r="U6" t="s">
        <v>83</v>
      </c>
      <c r="V6" t="s">
        <v>84</v>
      </c>
      <c r="W6" t="s">
        <v>56</v>
      </c>
      <c r="X6" s="2">
        <v>0</v>
      </c>
      <c r="Y6" s="3">
        <v>0</v>
      </c>
      <c r="Z6" s="2">
        <v>0</v>
      </c>
      <c r="AA6" s="3">
        <v>0</v>
      </c>
      <c r="AB6" s="2">
        <v>0</v>
      </c>
      <c r="AC6" t="s">
        <v>56</v>
      </c>
      <c r="AD6" s="2">
        <v>0</v>
      </c>
      <c r="AE6" s="2">
        <v>0</v>
      </c>
      <c r="AF6" s="2">
        <v>0</v>
      </c>
      <c r="AG6" t="s">
        <v>57</v>
      </c>
      <c r="AH6" t="s">
        <v>58</v>
      </c>
      <c r="AI6" t="s">
        <v>58</v>
      </c>
      <c r="AJ6" t="s">
        <v>57</v>
      </c>
      <c r="AK6" t="s">
        <v>57</v>
      </c>
      <c r="AL6" t="s">
        <v>57</v>
      </c>
      <c r="AM6" t="s">
        <v>57</v>
      </c>
      <c r="AN6" t="s">
        <v>59</v>
      </c>
      <c r="AO6" t="s">
        <v>85</v>
      </c>
    </row>
    <row r="7" spans="1:41" ht="15.75" x14ac:dyDescent="0.25">
      <c r="A7">
        <v>610601</v>
      </c>
      <c r="B7" s="1">
        <v>46212</v>
      </c>
      <c r="C7" t="s">
        <v>41</v>
      </c>
      <c r="D7" t="s">
        <v>86</v>
      </c>
      <c r="E7" t="s">
        <v>87</v>
      </c>
      <c r="F7" t="s">
        <v>44</v>
      </c>
      <c r="G7" t="s">
        <v>45</v>
      </c>
      <c r="H7" s="2">
        <v>812.41</v>
      </c>
      <c r="I7" t="s">
        <v>88</v>
      </c>
      <c r="J7" t="s">
        <v>64</v>
      </c>
      <c r="K7" t="s">
        <v>89</v>
      </c>
      <c r="L7" t="s">
        <v>49</v>
      </c>
      <c r="M7" t="s">
        <v>50</v>
      </c>
      <c r="N7" t="s">
        <v>51</v>
      </c>
      <c r="O7" t="s">
        <v>52</v>
      </c>
      <c r="P7" s="2">
        <v>0</v>
      </c>
      <c r="Q7" s="2">
        <v>0.61</v>
      </c>
      <c r="R7" s="3">
        <v>5</v>
      </c>
      <c r="S7" s="2">
        <v>0.03</v>
      </c>
      <c r="T7" t="s">
        <v>53</v>
      </c>
      <c r="U7" t="s">
        <v>90</v>
      </c>
      <c r="V7" t="s">
        <v>91</v>
      </c>
      <c r="W7" t="s">
        <v>56</v>
      </c>
      <c r="X7" s="2">
        <v>0</v>
      </c>
      <c r="Y7" s="3">
        <v>0</v>
      </c>
      <c r="Z7" s="2">
        <v>0</v>
      </c>
      <c r="AA7" s="3">
        <v>0</v>
      </c>
      <c r="AB7" s="2">
        <v>0</v>
      </c>
      <c r="AC7" t="s">
        <v>56</v>
      </c>
      <c r="AD7" s="2">
        <v>0</v>
      </c>
      <c r="AE7" s="2">
        <v>0</v>
      </c>
      <c r="AF7" s="2">
        <v>0</v>
      </c>
      <c r="AG7" t="s">
        <v>57</v>
      </c>
      <c r="AH7" t="s">
        <v>58</v>
      </c>
      <c r="AI7" t="s">
        <v>58</v>
      </c>
      <c r="AJ7" t="s">
        <v>57</v>
      </c>
      <c r="AK7" t="s">
        <v>57</v>
      </c>
      <c r="AL7" t="s">
        <v>57</v>
      </c>
      <c r="AM7" t="s">
        <v>57</v>
      </c>
      <c r="AN7" t="s">
        <v>59</v>
      </c>
      <c r="AO7" t="s">
        <v>92</v>
      </c>
    </row>
    <row r="8" spans="1:41" ht="15.75" x14ac:dyDescent="0.25">
      <c r="A8">
        <v>276</v>
      </c>
      <c r="B8" s="1">
        <v>46212</v>
      </c>
      <c r="C8" t="s">
        <v>41</v>
      </c>
      <c r="D8" t="s">
        <v>93</v>
      </c>
      <c r="E8" t="s">
        <v>94</v>
      </c>
      <c r="F8" t="s">
        <v>44</v>
      </c>
      <c r="G8" t="s">
        <v>45</v>
      </c>
      <c r="H8" s="2">
        <v>500</v>
      </c>
      <c r="I8" t="s">
        <v>95</v>
      </c>
      <c r="J8" t="s">
        <v>47</v>
      </c>
      <c r="K8" t="s">
        <v>96</v>
      </c>
      <c r="L8" t="s">
        <v>49</v>
      </c>
      <c r="M8" t="s">
        <v>50</v>
      </c>
      <c r="N8" t="s">
        <v>51</v>
      </c>
      <c r="O8" t="s">
        <v>97</v>
      </c>
      <c r="P8" s="2">
        <v>0</v>
      </c>
      <c r="Q8" s="2">
        <v>500</v>
      </c>
      <c r="R8" s="3">
        <v>2.0099999999999998</v>
      </c>
      <c r="S8" s="2">
        <v>10.050000000000001</v>
      </c>
      <c r="T8" t="s">
        <v>53</v>
      </c>
      <c r="U8" t="s">
        <v>98</v>
      </c>
      <c r="V8" t="s">
        <v>99</v>
      </c>
      <c r="W8" t="s">
        <v>56</v>
      </c>
      <c r="X8" s="2">
        <v>0</v>
      </c>
      <c r="Y8" s="3">
        <v>0</v>
      </c>
      <c r="Z8" s="2">
        <v>0</v>
      </c>
      <c r="AA8" s="3">
        <v>0</v>
      </c>
      <c r="AB8" s="2">
        <v>0</v>
      </c>
      <c r="AC8" t="s">
        <v>56</v>
      </c>
      <c r="AD8" s="2">
        <v>0</v>
      </c>
      <c r="AE8" s="2">
        <v>0</v>
      </c>
      <c r="AF8" s="2">
        <v>0</v>
      </c>
      <c r="AG8" t="s">
        <v>57</v>
      </c>
      <c r="AH8" t="s">
        <v>58</v>
      </c>
      <c r="AI8" t="s">
        <v>58</v>
      </c>
      <c r="AJ8" t="s">
        <v>57</v>
      </c>
      <c r="AK8" t="s">
        <v>57</v>
      </c>
      <c r="AL8" t="s">
        <v>57</v>
      </c>
      <c r="AM8" t="s">
        <v>57</v>
      </c>
      <c r="AN8" t="s">
        <v>59</v>
      </c>
      <c r="AO8" t="s">
        <v>100</v>
      </c>
    </row>
    <row r="9" spans="1:41" ht="15.75" x14ac:dyDescent="0.25">
      <c r="A9">
        <v>109</v>
      </c>
      <c r="B9" s="1">
        <v>46212</v>
      </c>
      <c r="C9" t="s">
        <v>41</v>
      </c>
      <c r="D9" t="s">
        <v>101</v>
      </c>
      <c r="E9" t="s">
        <v>102</v>
      </c>
      <c r="F9" t="s">
        <v>44</v>
      </c>
      <c r="G9" t="s">
        <v>45</v>
      </c>
      <c r="H9" s="2">
        <v>1000</v>
      </c>
      <c r="I9" t="s">
        <v>103</v>
      </c>
      <c r="J9" t="s">
        <v>47</v>
      </c>
      <c r="K9" t="s">
        <v>104</v>
      </c>
      <c r="L9" t="s">
        <v>49</v>
      </c>
      <c r="M9" t="s">
        <v>50</v>
      </c>
      <c r="N9" t="s">
        <v>51</v>
      </c>
      <c r="O9" t="s">
        <v>105</v>
      </c>
      <c r="P9" s="2">
        <v>0</v>
      </c>
      <c r="Q9" s="2">
        <v>1000</v>
      </c>
      <c r="R9" s="3">
        <v>2.0099999999999998</v>
      </c>
      <c r="S9" s="2">
        <v>20.100000000000001</v>
      </c>
      <c r="T9" t="s">
        <v>53</v>
      </c>
      <c r="U9" t="s">
        <v>106</v>
      </c>
      <c r="V9" t="s">
        <v>107</v>
      </c>
      <c r="W9" t="s">
        <v>56</v>
      </c>
      <c r="X9" s="2">
        <v>0</v>
      </c>
      <c r="Y9" s="3">
        <v>0</v>
      </c>
      <c r="Z9" s="2">
        <v>0</v>
      </c>
      <c r="AA9" s="3">
        <v>0</v>
      </c>
      <c r="AB9" s="2">
        <v>0</v>
      </c>
      <c r="AC9" t="s">
        <v>56</v>
      </c>
      <c r="AD9" s="2">
        <v>0</v>
      </c>
      <c r="AE9" s="2">
        <v>0</v>
      </c>
      <c r="AF9" s="2">
        <v>0</v>
      </c>
      <c r="AG9" t="s">
        <v>57</v>
      </c>
      <c r="AH9" t="s">
        <v>58</v>
      </c>
      <c r="AI9" t="s">
        <v>58</v>
      </c>
      <c r="AJ9" t="s">
        <v>57</v>
      </c>
      <c r="AK9" t="s">
        <v>57</v>
      </c>
      <c r="AL9" t="s">
        <v>57</v>
      </c>
      <c r="AM9" t="s">
        <v>57</v>
      </c>
      <c r="AN9" t="s">
        <v>59</v>
      </c>
      <c r="AO9" t="s">
        <v>108</v>
      </c>
    </row>
    <row r="10" spans="1:41" ht="15.75" x14ac:dyDescent="0.25">
      <c r="A10">
        <v>110</v>
      </c>
      <c r="B10" s="1">
        <v>46212</v>
      </c>
      <c r="C10" t="s">
        <v>41</v>
      </c>
      <c r="D10" t="s">
        <v>101</v>
      </c>
      <c r="E10" t="s">
        <v>102</v>
      </c>
      <c r="F10" t="s">
        <v>44</v>
      </c>
      <c r="G10" t="s">
        <v>45</v>
      </c>
      <c r="H10" s="2">
        <v>1000</v>
      </c>
      <c r="I10" t="s">
        <v>103</v>
      </c>
      <c r="J10" t="s">
        <v>47</v>
      </c>
      <c r="K10" t="s">
        <v>109</v>
      </c>
      <c r="L10" t="s">
        <v>49</v>
      </c>
      <c r="M10" t="s">
        <v>50</v>
      </c>
      <c r="N10" t="s">
        <v>51</v>
      </c>
      <c r="O10" t="s">
        <v>105</v>
      </c>
      <c r="P10" s="2">
        <v>0</v>
      </c>
      <c r="Q10" s="2">
        <v>1000</v>
      </c>
      <c r="R10" s="3">
        <v>2.0099999999999998</v>
      </c>
      <c r="S10" s="2">
        <v>20.100000000000001</v>
      </c>
      <c r="T10" t="s">
        <v>53</v>
      </c>
      <c r="U10" t="s">
        <v>106</v>
      </c>
      <c r="V10" t="s">
        <v>110</v>
      </c>
      <c r="W10" t="s">
        <v>56</v>
      </c>
      <c r="X10" s="2">
        <v>0</v>
      </c>
      <c r="Y10" s="3">
        <v>0</v>
      </c>
      <c r="Z10" s="2">
        <v>0</v>
      </c>
      <c r="AA10" s="3">
        <v>0</v>
      </c>
      <c r="AB10" s="2">
        <v>0</v>
      </c>
      <c r="AC10" t="s">
        <v>56</v>
      </c>
      <c r="AD10" s="2">
        <v>0</v>
      </c>
      <c r="AE10" s="2">
        <v>0</v>
      </c>
      <c r="AF10" s="2">
        <v>0</v>
      </c>
      <c r="AG10" t="s">
        <v>57</v>
      </c>
      <c r="AH10" t="s">
        <v>58</v>
      </c>
      <c r="AI10" t="s">
        <v>58</v>
      </c>
      <c r="AJ10" t="s">
        <v>57</v>
      </c>
      <c r="AK10" t="s">
        <v>57</v>
      </c>
      <c r="AL10" t="s">
        <v>57</v>
      </c>
      <c r="AM10" t="s">
        <v>57</v>
      </c>
      <c r="AN10" t="s">
        <v>59</v>
      </c>
      <c r="AO10" t="s">
        <v>111</v>
      </c>
    </row>
    <row r="11" spans="1:41" ht="15.75" x14ac:dyDescent="0.25">
      <c r="A11">
        <v>108</v>
      </c>
      <c r="B11" s="1">
        <v>46212</v>
      </c>
      <c r="C11" t="s">
        <v>41</v>
      </c>
      <c r="D11" t="s">
        <v>101</v>
      </c>
      <c r="E11" t="s">
        <v>102</v>
      </c>
      <c r="F11" t="s">
        <v>44</v>
      </c>
      <c r="G11" t="s">
        <v>45</v>
      </c>
      <c r="H11" s="2">
        <v>1000</v>
      </c>
      <c r="I11" t="s">
        <v>103</v>
      </c>
      <c r="J11" t="s">
        <v>47</v>
      </c>
      <c r="K11" t="s">
        <v>112</v>
      </c>
      <c r="L11" t="s">
        <v>49</v>
      </c>
      <c r="M11" t="s">
        <v>50</v>
      </c>
      <c r="N11" t="s">
        <v>51</v>
      </c>
      <c r="O11" t="s">
        <v>105</v>
      </c>
      <c r="P11" s="2">
        <v>0</v>
      </c>
      <c r="Q11" s="2">
        <v>1000</v>
      </c>
      <c r="R11" s="3">
        <v>2.0099999999999998</v>
      </c>
      <c r="S11" s="2">
        <v>20.100000000000001</v>
      </c>
      <c r="T11" t="s">
        <v>53</v>
      </c>
      <c r="U11" t="s">
        <v>106</v>
      </c>
      <c r="V11" t="s">
        <v>113</v>
      </c>
      <c r="W11" t="s">
        <v>56</v>
      </c>
      <c r="X11" s="2">
        <v>0</v>
      </c>
      <c r="Y11" s="3">
        <v>0</v>
      </c>
      <c r="Z11" s="2">
        <v>0</v>
      </c>
      <c r="AA11" s="3">
        <v>0</v>
      </c>
      <c r="AB11" s="2">
        <v>0</v>
      </c>
      <c r="AC11" t="s">
        <v>56</v>
      </c>
      <c r="AD11" s="2">
        <v>0</v>
      </c>
      <c r="AE11" s="2">
        <v>0</v>
      </c>
      <c r="AF11" s="2">
        <v>0</v>
      </c>
      <c r="AG11" t="s">
        <v>57</v>
      </c>
      <c r="AH11" t="s">
        <v>58</v>
      </c>
      <c r="AI11" t="s">
        <v>58</v>
      </c>
      <c r="AJ11" t="s">
        <v>57</v>
      </c>
      <c r="AK11" t="s">
        <v>57</v>
      </c>
      <c r="AL11" t="s">
        <v>57</v>
      </c>
      <c r="AM11" t="s">
        <v>57</v>
      </c>
      <c r="AN11" t="s">
        <v>59</v>
      </c>
      <c r="AO11" t="s">
        <v>114</v>
      </c>
    </row>
    <row r="12" spans="1:41" ht="15.75" x14ac:dyDescent="0.25">
      <c r="A12">
        <v>107</v>
      </c>
      <c r="B12" s="1">
        <v>46212</v>
      </c>
      <c r="C12" t="s">
        <v>41</v>
      </c>
      <c r="D12" t="s">
        <v>101</v>
      </c>
      <c r="E12" t="s">
        <v>102</v>
      </c>
      <c r="F12" t="s">
        <v>44</v>
      </c>
      <c r="G12" t="s">
        <v>45</v>
      </c>
      <c r="H12" s="2">
        <v>1000</v>
      </c>
      <c r="I12" t="s">
        <v>103</v>
      </c>
      <c r="J12" t="s">
        <v>47</v>
      </c>
      <c r="K12" t="s">
        <v>115</v>
      </c>
      <c r="L12" t="s">
        <v>49</v>
      </c>
      <c r="M12" t="s">
        <v>50</v>
      </c>
      <c r="N12" t="s">
        <v>51</v>
      </c>
      <c r="O12" t="s">
        <v>105</v>
      </c>
      <c r="P12" s="2">
        <v>0</v>
      </c>
      <c r="Q12" s="2">
        <v>1000</v>
      </c>
      <c r="R12" s="3">
        <v>2.0099999999999998</v>
      </c>
      <c r="S12" s="2">
        <v>20.100000000000001</v>
      </c>
      <c r="T12" t="s">
        <v>53</v>
      </c>
      <c r="U12" t="s">
        <v>106</v>
      </c>
      <c r="V12" t="s">
        <v>116</v>
      </c>
      <c r="W12" t="s">
        <v>56</v>
      </c>
      <c r="X12" s="2">
        <v>0</v>
      </c>
      <c r="Y12" s="3">
        <v>0</v>
      </c>
      <c r="Z12" s="2">
        <v>0</v>
      </c>
      <c r="AA12" s="3">
        <v>0</v>
      </c>
      <c r="AB12" s="2">
        <v>0</v>
      </c>
      <c r="AC12" t="s">
        <v>56</v>
      </c>
      <c r="AD12" s="2">
        <v>0</v>
      </c>
      <c r="AE12" s="2">
        <v>0</v>
      </c>
      <c r="AF12" s="2">
        <v>0</v>
      </c>
      <c r="AG12" t="s">
        <v>57</v>
      </c>
      <c r="AH12" t="s">
        <v>58</v>
      </c>
      <c r="AI12" t="s">
        <v>58</v>
      </c>
      <c r="AJ12" t="s">
        <v>57</v>
      </c>
      <c r="AK12" t="s">
        <v>57</v>
      </c>
      <c r="AL12" t="s">
        <v>57</v>
      </c>
      <c r="AM12" t="s">
        <v>57</v>
      </c>
      <c r="AN12" t="s">
        <v>59</v>
      </c>
      <c r="AO12" t="s">
        <v>117</v>
      </c>
    </row>
    <row r="13" spans="1:41" ht="15.75" x14ac:dyDescent="0.25">
      <c r="A13">
        <v>64418</v>
      </c>
      <c r="B13" s="1">
        <v>46211</v>
      </c>
      <c r="C13" t="s">
        <v>41</v>
      </c>
      <c r="D13" t="s">
        <v>118</v>
      </c>
      <c r="E13" t="s">
        <v>119</v>
      </c>
      <c r="F13" t="s">
        <v>44</v>
      </c>
      <c r="G13" t="s">
        <v>45</v>
      </c>
      <c r="H13" s="2">
        <v>900</v>
      </c>
      <c r="I13" t="s">
        <v>120</v>
      </c>
      <c r="J13" t="s">
        <v>64</v>
      </c>
      <c r="K13" t="s">
        <v>121</v>
      </c>
      <c r="L13" t="s">
        <v>49</v>
      </c>
      <c r="M13" t="s">
        <v>50</v>
      </c>
      <c r="N13" t="s">
        <v>122</v>
      </c>
      <c r="O13" t="s">
        <v>123</v>
      </c>
      <c r="P13" s="2">
        <v>0</v>
      </c>
      <c r="Q13" s="2">
        <v>0</v>
      </c>
      <c r="R13" s="3">
        <v>0</v>
      </c>
      <c r="S13" s="2">
        <v>0</v>
      </c>
      <c r="T13" t="s">
        <v>53</v>
      </c>
      <c r="U13" t="s">
        <v>124</v>
      </c>
      <c r="V13" t="s">
        <v>125</v>
      </c>
      <c r="W13" t="s">
        <v>56</v>
      </c>
      <c r="X13" s="2">
        <v>0</v>
      </c>
      <c r="Y13" s="3">
        <v>0</v>
      </c>
      <c r="Z13" s="2">
        <v>0</v>
      </c>
      <c r="AA13" s="3">
        <v>0</v>
      </c>
      <c r="AB13" s="2">
        <v>0</v>
      </c>
      <c r="AC13" t="s">
        <v>56</v>
      </c>
      <c r="AD13" s="2">
        <v>0</v>
      </c>
      <c r="AE13" s="2">
        <v>0</v>
      </c>
      <c r="AF13" s="2">
        <v>0</v>
      </c>
      <c r="AG13" t="s">
        <v>57</v>
      </c>
      <c r="AH13" t="s">
        <v>58</v>
      </c>
      <c r="AI13" t="s">
        <v>58</v>
      </c>
      <c r="AJ13" t="s">
        <v>57</v>
      </c>
      <c r="AK13" t="s">
        <v>57</v>
      </c>
      <c r="AL13" t="s">
        <v>57</v>
      </c>
      <c r="AM13" t="s">
        <v>57</v>
      </c>
      <c r="AN13" t="s">
        <v>59</v>
      </c>
      <c r="AO13" t="s">
        <v>126</v>
      </c>
    </row>
    <row r="14" spans="1:41" ht="15.75" x14ac:dyDescent="0.25">
      <c r="A14">
        <v>2600000000120</v>
      </c>
      <c r="B14" s="1">
        <v>46211</v>
      </c>
      <c r="C14" t="s">
        <v>41</v>
      </c>
      <c r="D14" t="s">
        <v>127</v>
      </c>
      <c r="E14" t="s">
        <v>128</v>
      </c>
      <c r="F14" t="s">
        <v>44</v>
      </c>
      <c r="G14" t="s">
        <v>45</v>
      </c>
      <c r="H14" s="2">
        <v>4852.38</v>
      </c>
      <c r="I14" t="s">
        <v>129</v>
      </c>
      <c r="J14" t="s">
        <v>64</v>
      </c>
      <c r="K14" t="s">
        <v>130</v>
      </c>
      <c r="L14" t="s">
        <v>131</v>
      </c>
      <c r="M14" t="s">
        <v>50</v>
      </c>
      <c r="N14" t="s">
        <v>51</v>
      </c>
      <c r="O14" t="s">
        <v>132</v>
      </c>
      <c r="P14" s="2">
        <v>0</v>
      </c>
      <c r="Q14" s="2">
        <v>4852.38</v>
      </c>
      <c r="R14" s="3">
        <v>5</v>
      </c>
      <c r="S14" s="2">
        <v>242.62</v>
      </c>
      <c r="T14" t="s">
        <v>133</v>
      </c>
      <c r="U14" t="s">
        <v>134</v>
      </c>
      <c r="V14" t="s">
        <v>135</v>
      </c>
      <c r="W14" t="s">
        <v>56</v>
      </c>
      <c r="X14" s="2">
        <v>0</v>
      </c>
      <c r="Y14" s="3">
        <v>0</v>
      </c>
      <c r="Z14" s="2">
        <v>31.54</v>
      </c>
      <c r="AA14" s="3">
        <v>0</v>
      </c>
      <c r="AB14" s="2">
        <v>145.57</v>
      </c>
      <c r="AC14" t="s">
        <v>56</v>
      </c>
      <c r="AD14" s="2">
        <v>48.52</v>
      </c>
      <c r="AE14" s="2">
        <v>48.52</v>
      </c>
      <c r="AF14" s="2">
        <v>533.76</v>
      </c>
      <c r="AG14" t="s">
        <v>57</v>
      </c>
      <c r="AH14" t="s">
        <v>58</v>
      </c>
      <c r="AI14" t="s">
        <v>58</v>
      </c>
      <c r="AJ14" t="s">
        <v>57</v>
      </c>
      <c r="AK14" t="s">
        <v>57</v>
      </c>
      <c r="AL14" t="s">
        <v>57</v>
      </c>
      <c r="AM14" t="s">
        <v>57</v>
      </c>
      <c r="AN14" t="s">
        <v>59</v>
      </c>
      <c r="AO14" t="s">
        <v>136</v>
      </c>
    </row>
    <row r="15" spans="1:41" ht="15.75" x14ac:dyDescent="0.25">
      <c r="A15">
        <v>68</v>
      </c>
      <c r="B15" s="1">
        <v>46210</v>
      </c>
      <c r="C15" t="s">
        <v>41</v>
      </c>
      <c r="D15" t="s">
        <v>137</v>
      </c>
      <c r="E15" t="s">
        <v>138</v>
      </c>
      <c r="F15" t="s">
        <v>44</v>
      </c>
      <c r="G15" t="s">
        <v>45</v>
      </c>
      <c r="H15" s="2">
        <v>500</v>
      </c>
      <c r="I15" t="s">
        <v>139</v>
      </c>
      <c r="J15" t="s">
        <v>140</v>
      </c>
      <c r="K15" t="s">
        <v>141</v>
      </c>
      <c r="L15" t="s">
        <v>142</v>
      </c>
      <c r="M15" t="s">
        <v>143</v>
      </c>
      <c r="N15" t="s">
        <v>51</v>
      </c>
      <c r="O15" t="s">
        <v>132</v>
      </c>
      <c r="P15" s="2">
        <v>0</v>
      </c>
      <c r="Q15" s="2">
        <v>0</v>
      </c>
      <c r="R15" s="3">
        <v>0</v>
      </c>
      <c r="S15" s="2">
        <v>0</v>
      </c>
      <c r="T15" t="s">
        <v>53</v>
      </c>
      <c r="U15" t="s">
        <v>144</v>
      </c>
      <c r="V15" t="s">
        <v>145</v>
      </c>
      <c r="W15" t="s">
        <v>56</v>
      </c>
      <c r="X15" s="2">
        <v>0</v>
      </c>
      <c r="Y15" s="3">
        <v>0</v>
      </c>
      <c r="Z15" s="2">
        <v>0</v>
      </c>
      <c r="AA15" s="3">
        <v>0</v>
      </c>
      <c r="AB15" s="2">
        <v>0</v>
      </c>
      <c r="AC15" t="s">
        <v>56</v>
      </c>
      <c r="AD15" s="2">
        <v>0</v>
      </c>
      <c r="AE15" s="2">
        <v>0</v>
      </c>
      <c r="AF15" s="2">
        <v>0</v>
      </c>
      <c r="AG15" t="s">
        <v>57</v>
      </c>
      <c r="AH15" t="s">
        <v>58</v>
      </c>
      <c r="AI15" t="s">
        <v>58</v>
      </c>
      <c r="AJ15" t="s">
        <v>57</v>
      </c>
      <c r="AK15" t="s">
        <v>57</v>
      </c>
      <c r="AL15" t="s">
        <v>57</v>
      </c>
      <c r="AM15" t="s">
        <v>57</v>
      </c>
      <c r="AN15" t="s">
        <v>59</v>
      </c>
      <c r="AO15" t="s">
        <v>146</v>
      </c>
    </row>
    <row r="16" spans="1:41" ht="15.75" x14ac:dyDescent="0.25">
      <c r="A16">
        <v>2600000195107</v>
      </c>
      <c r="B16" s="1">
        <v>46210</v>
      </c>
      <c r="C16" t="s">
        <v>41</v>
      </c>
      <c r="D16" t="s">
        <v>147</v>
      </c>
      <c r="E16" t="s">
        <v>148</v>
      </c>
      <c r="F16" t="s">
        <v>44</v>
      </c>
      <c r="G16" t="s">
        <v>45</v>
      </c>
      <c r="H16" s="2">
        <v>4981</v>
      </c>
      <c r="I16" t="s">
        <v>149</v>
      </c>
      <c r="J16" t="s">
        <v>64</v>
      </c>
      <c r="K16" t="s">
        <v>150</v>
      </c>
      <c r="L16" t="s">
        <v>131</v>
      </c>
      <c r="M16" t="s">
        <v>50</v>
      </c>
      <c r="N16" t="s">
        <v>51</v>
      </c>
      <c r="O16" t="s">
        <v>132</v>
      </c>
      <c r="P16" s="2">
        <v>0</v>
      </c>
      <c r="Q16" s="2">
        <v>4981</v>
      </c>
      <c r="R16" s="3">
        <v>5</v>
      </c>
      <c r="S16" s="2">
        <v>249.05</v>
      </c>
      <c r="T16" t="s">
        <v>133</v>
      </c>
      <c r="U16" t="s">
        <v>151</v>
      </c>
      <c r="V16" t="s">
        <v>152</v>
      </c>
      <c r="W16" t="s">
        <v>56</v>
      </c>
      <c r="X16" s="2">
        <v>0</v>
      </c>
      <c r="Y16" s="3">
        <v>0</v>
      </c>
      <c r="Z16" s="2">
        <v>0</v>
      </c>
      <c r="AA16" s="3">
        <v>0</v>
      </c>
      <c r="AB16" s="2">
        <v>0</v>
      </c>
      <c r="AC16" t="s">
        <v>56</v>
      </c>
      <c r="AD16" s="2">
        <v>0</v>
      </c>
      <c r="AE16" s="2">
        <v>0</v>
      </c>
      <c r="AF16" s="2">
        <v>0</v>
      </c>
      <c r="AG16" t="s">
        <v>57</v>
      </c>
      <c r="AH16" t="s">
        <v>58</v>
      </c>
      <c r="AI16" t="s">
        <v>58</v>
      </c>
      <c r="AJ16" t="s">
        <v>57</v>
      </c>
      <c r="AK16" t="s">
        <v>57</v>
      </c>
      <c r="AL16" t="s">
        <v>57</v>
      </c>
      <c r="AM16" t="s">
        <v>57</v>
      </c>
      <c r="AN16" t="s">
        <v>59</v>
      </c>
      <c r="AO16" t="s">
        <v>153</v>
      </c>
    </row>
    <row r="17" spans="1:41" ht="15.75" x14ac:dyDescent="0.25">
      <c r="A17">
        <v>169</v>
      </c>
      <c r="B17" s="1">
        <v>46210</v>
      </c>
      <c r="C17" t="s">
        <v>41</v>
      </c>
      <c r="D17" t="s">
        <v>154</v>
      </c>
      <c r="E17" t="s">
        <v>155</v>
      </c>
      <c r="F17" t="s">
        <v>44</v>
      </c>
      <c r="G17" t="s">
        <v>45</v>
      </c>
      <c r="H17" s="2">
        <v>80</v>
      </c>
      <c r="I17" t="s">
        <v>156</v>
      </c>
      <c r="J17" t="s">
        <v>64</v>
      </c>
      <c r="K17" t="s">
        <v>157</v>
      </c>
      <c r="L17" t="s">
        <v>49</v>
      </c>
      <c r="M17" t="s">
        <v>50</v>
      </c>
      <c r="N17" t="s">
        <v>51</v>
      </c>
      <c r="O17" t="s">
        <v>52</v>
      </c>
      <c r="P17" s="2">
        <v>0</v>
      </c>
      <c r="Q17" s="2">
        <v>80</v>
      </c>
      <c r="R17" s="3">
        <v>5</v>
      </c>
      <c r="S17" s="2">
        <v>4</v>
      </c>
      <c r="T17" t="s">
        <v>53</v>
      </c>
      <c r="U17" t="s">
        <v>158</v>
      </c>
      <c r="V17" t="s">
        <v>159</v>
      </c>
      <c r="W17" t="s">
        <v>56</v>
      </c>
      <c r="X17" s="2">
        <v>0</v>
      </c>
      <c r="Y17" s="3">
        <v>0</v>
      </c>
      <c r="Z17" s="2">
        <v>0</v>
      </c>
      <c r="AA17" s="3">
        <v>0</v>
      </c>
      <c r="AB17" s="2">
        <v>0</v>
      </c>
      <c r="AC17" t="s">
        <v>56</v>
      </c>
      <c r="AD17" s="2">
        <v>0</v>
      </c>
      <c r="AE17" s="2">
        <v>0</v>
      </c>
      <c r="AF17" s="2">
        <v>0</v>
      </c>
      <c r="AG17" t="s">
        <v>57</v>
      </c>
      <c r="AH17" t="s">
        <v>58</v>
      </c>
      <c r="AI17" t="s">
        <v>58</v>
      </c>
      <c r="AJ17" t="s">
        <v>57</v>
      </c>
      <c r="AK17" t="s">
        <v>57</v>
      </c>
      <c r="AL17" t="s">
        <v>57</v>
      </c>
      <c r="AM17" t="s">
        <v>57</v>
      </c>
      <c r="AN17" t="s">
        <v>59</v>
      </c>
      <c r="AO17" t="s">
        <v>160</v>
      </c>
    </row>
    <row r="18" spans="1:41" ht="15.75" x14ac:dyDescent="0.25">
      <c r="A18">
        <v>168</v>
      </c>
      <c r="B18" s="1">
        <v>46210</v>
      </c>
      <c r="C18" t="s">
        <v>41</v>
      </c>
      <c r="D18" t="s">
        <v>154</v>
      </c>
      <c r="E18" t="s">
        <v>155</v>
      </c>
      <c r="F18" t="s">
        <v>44</v>
      </c>
      <c r="G18" t="s">
        <v>45</v>
      </c>
      <c r="H18" s="2">
        <v>80</v>
      </c>
      <c r="I18" t="s">
        <v>156</v>
      </c>
      <c r="J18" t="s">
        <v>64</v>
      </c>
      <c r="K18" t="s">
        <v>161</v>
      </c>
      <c r="L18" t="s">
        <v>49</v>
      </c>
      <c r="M18" t="s">
        <v>50</v>
      </c>
      <c r="N18" t="s">
        <v>51</v>
      </c>
      <c r="O18" t="s">
        <v>52</v>
      </c>
      <c r="P18" s="2">
        <v>0</v>
      </c>
      <c r="Q18" s="2">
        <v>80</v>
      </c>
      <c r="R18" s="3">
        <v>5</v>
      </c>
      <c r="S18" s="2">
        <v>4</v>
      </c>
      <c r="T18" t="s">
        <v>53</v>
      </c>
      <c r="U18" t="s">
        <v>158</v>
      </c>
      <c r="V18" t="s">
        <v>162</v>
      </c>
      <c r="W18" t="s">
        <v>56</v>
      </c>
      <c r="X18" s="2">
        <v>0</v>
      </c>
      <c r="Y18" s="3">
        <v>0</v>
      </c>
      <c r="Z18" s="2">
        <v>0</v>
      </c>
      <c r="AA18" s="3">
        <v>0</v>
      </c>
      <c r="AB18" s="2">
        <v>0</v>
      </c>
      <c r="AC18" t="s">
        <v>56</v>
      </c>
      <c r="AD18" s="2">
        <v>0</v>
      </c>
      <c r="AE18" s="2">
        <v>0</v>
      </c>
      <c r="AF18" s="2">
        <v>0</v>
      </c>
      <c r="AG18" t="s">
        <v>57</v>
      </c>
      <c r="AH18" t="s">
        <v>58</v>
      </c>
      <c r="AI18" t="s">
        <v>58</v>
      </c>
      <c r="AJ18" t="s">
        <v>57</v>
      </c>
      <c r="AK18" t="s">
        <v>57</v>
      </c>
      <c r="AL18" t="s">
        <v>57</v>
      </c>
      <c r="AM18" t="s">
        <v>57</v>
      </c>
      <c r="AN18" t="s">
        <v>59</v>
      </c>
      <c r="AO18" t="s">
        <v>163</v>
      </c>
    </row>
    <row r="19" spans="1:41" ht="15.75" x14ac:dyDescent="0.25">
      <c r="A19">
        <v>208</v>
      </c>
      <c r="B19" s="1">
        <v>46209</v>
      </c>
      <c r="C19" t="s">
        <v>41</v>
      </c>
      <c r="D19" t="s">
        <v>164</v>
      </c>
      <c r="E19" t="s">
        <v>165</v>
      </c>
      <c r="F19" t="s">
        <v>44</v>
      </c>
      <c r="G19" t="s">
        <v>45</v>
      </c>
      <c r="H19" s="2">
        <v>4082.5</v>
      </c>
      <c r="I19" t="s">
        <v>166</v>
      </c>
      <c r="J19" t="s">
        <v>47</v>
      </c>
      <c r="K19" t="s">
        <v>167</v>
      </c>
      <c r="L19" t="s">
        <v>168</v>
      </c>
      <c r="M19" t="s">
        <v>50</v>
      </c>
      <c r="N19" t="s">
        <v>51</v>
      </c>
      <c r="O19" t="s">
        <v>132</v>
      </c>
      <c r="P19" s="2">
        <v>0</v>
      </c>
      <c r="Q19" s="2">
        <v>4082.5</v>
      </c>
      <c r="R19" s="3">
        <v>2</v>
      </c>
      <c r="S19" s="2">
        <v>81.650000000000006</v>
      </c>
      <c r="T19" t="s">
        <v>133</v>
      </c>
      <c r="U19" t="s">
        <v>169</v>
      </c>
      <c r="V19" t="s">
        <v>170</v>
      </c>
      <c r="W19" t="s">
        <v>56</v>
      </c>
      <c r="X19" s="2">
        <v>0</v>
      </c>
      <c r="Y19" s="3">
        <v>0</v>
      </c>
      <c r="Z19" s="2">
        <v>0</v>
      </c>
      <c r="AA19" s="3">
        <v>0</v>
      </c>
      <c r="AB19" s="2">
        <v>0</v>
      </c>
      <c r="AC19" t="s">
        <v>56</v>
      </c>
      <c r="AD19" s="2">
        <v>0</v>
      </c>
      <c r="AE19" s="2">
        <v>0</v>
      </c>
      <c r="AF19" s="2">
        <v>0</v>
      </c>
      <c r="AG19" t="s">
        <v>57</v>
      </c>
      <c r="AH19" t="s">
        <v>58</v>
      </c>
      <c r="AI19" t="s">
        <v>58</v>
      </c>
      <c r="AJ19" t="s">
        <v>57</v>
      </c>
      <c r="AK19" t="s">
        <v>57</v>
      </c>
      <c r="AL19" t="s">
        <v>57</v>
      </c>
      <c r="AM19" t="s">
        <v>57</v>
      </c>
      <c r="AN19" t="s">
        <v>59</v>
      </c>
      <c r="AO19" t="s">
        <v>171</v>
      </c>
    </row>
    <row r="20" spans="1:41" ht="15.75" x14ac:dyDescent="0.25">
      <c r="A20">
        <v>3541</v>
      </c>
      <c r="B20" s="1">
        <v>46209</v>
      </c>
      <c r="C20" t="s">
        <v>41</v>
      </c>
      <c r="D20" t="s">
        <v>172</v>
      </c>
      <c r="E20" t="s">
        <v>173</v>
      </c>
      <c r="F20" t="s">
        <v>44</v>
      </c>
      <c r="G20" t="s">
        <v>45</v>
      </c>
      <c r="H20" s="2">
        <v>40170.400000000001</v>
      </c>
      <c r="I20" t="s">
        <v>174</v>
      </c>
      <c r="J20" t="s">
        <v>47</v>
      </c>
      <c r="K20" t="s">
        <v>175</v>
      </c>
      <c r="L20" t="s">
        <v>49</v>
      </c>
      <c r="M20" t="s">
        <v>50</v>
      </c>
      <c r="N20" t="s">
        <v>51</v>
      </c>
      <c r="O20" t="s">
        <v>52</v>
      </c>
      <c r="P20" s="2">
        <v>0</v>
      </c>
      <c r="Q20" s="2">
        <v>40170.400000000001</v>
      </c>
      <c r="R20" s="3">
        <v>5</v>
      </c>
      <c r="S20" s="2">
        <v>2008.52</v>
      </c>
      <c r="T20" t="s">
        <v>53</v>
      </c>
      <c r="U20" t="s">
        <v>176</v>
      </c>
      <c r="V20" t="s">
        <v>177</v>
      </c>
      <c r="W20" t="s">
        <v>56</v>
      </c>
      <c r="X20" s="2">
        <v>0</v>
      </c>
      <c r="Y20" s="3">
        <v>0</v>
      </c>
      <c r="Z20" s="2">
        <v>0</v>
      </c>
      <c r="AA20" s="3">
        <v>0</v>
      </c>
      <c r="AB20" s="2">
        <v>0</v>
      </c>
      <c r="AC20" t="s">
        <v>56</v>
      </c>
      <c r="AD20" s="2">
        <v>0</v>
      </c>
      <c r="AE20" s="2">
        <v>0</v>
      </c>
      <c r="AF20" s="2">
        <v>0</v>
      </c>
      <c r="AG20" t="s">
        <v>57</v>
      </c>
      <c r="AH20" t="s">
        <v>58</v>
      </c>
      <c r="AI20" t="s">
        <v>58</v>
      </c>
      <c r="AJ20" t="s">
        <v>57</v>
      </c>
      <c r="AK20" t="s">
        <v>57</v>
      </c>
      <c r="AL20" t="s">
        <v>57</v>
      </c>
      <c r="AM20" t="s">
        <v>57</v>
      </c>
      <c r="AN20" t="s">
        <v>59</v>
      </c>
      <c r="AO20" t="s">
        <v>178</v>
      </c>
    </row>
    <row r="21" spans="1:41" ht="15.75" x14ac:dyDescent="0.25">
      <c r="A21">
        <v>3540</v>
      </c>
      <c r="B21" s="1">
        <v>46209</v>
      </c>
      <c r="C21" t="s">
        <v>41</v>
      </c>
      <c r="D21" t="s">
        <v>172</v>
      </c>
      <c r="E21" t="s">
        <v>173</v>
      </c>
      <c r="F21" t="s">
        <v>44</v>
      </c>
      <c r="G21" t="s">
        <v>45</v>
      </c>
      <c r="H21" s="2">
        <v>40170.400000000001</v>
      </c>
      <c r="I21" t="s">
        <v>174</v>
      </c>
      <c r="J21" t="s">
        <v>47</v>
      </c>
      <c r="K21" t="s">
        <v>179</v>
      </c>
      <c r="L21" t="s">
        <v>49</v>
      </c>
      <c r="M21" t="s">
        <v>50</v>
      </c>
      <c r="N21" t="s">
        <v>51</v>
      </c>
      <c r="O21" t="s">
        <v>52</v>
      </c>
      <c r="P21" s="2">
        <v>0</v>
      </c>
      <c r="Q21" s="2">
        <v>40170.400000000001</v>
      </c>
      <c r="R21" s="3">
        <v>5</v>
      </c>
      <c r="S21" s="2">
        <v>2008.52</v>
      </c>
      <c r="T21" t="s">
        <v>53</v>
      </c>
      <c r="U21" t="s">
        <v>176</v>
      </c>
      <c r="V21" t="s">
        <v>180</v>
      </c>
      <c r="W21" t="s">
        <v>56</v>
      </c>
      <c r="X21" s="2">
        <v>0</v>
      </c>
      <c r="Y21" s="3">
        <v>0</v>
      </c>
      <c r="Z21" s="2">
        <v>0</v>
      </c>
      <c r="AA21" s="3">
        <v>0</v>
      </c>
      <c r="AB21" s="2">
        <v>0</v>
      </c>
      <c r="AC21" t="s">
        <v>56</v>
      </c>
      <c r="AD21" s="2">
        <v>0</v>
      </c>
      <c r="AE21" s="2">
        <v>0</v>
      </c>
      <c r="AF21" s="2">
        <v>0</v>
      </c>
      <c r="AG21" t="s">
        <v>57</v>
      </c>
      <c r="AH21" t="s">
        <v>58</v>
      </c>
      <c r="AI21" t="s">
        <v>58</v>
      </c>
      <c r="AJ21" t="s">
        <v>181</v>
      </c>
      <c r="AK21" t="s">
        <v>182</v>
      </c>
      <c r="AL21" t="s">
        <v>183</v>
      </c>
      <c r="AM21" t="s">
        <v>183</v>
      </c>
      <c r="AN21" t="s">
        <v>184</v>
      </c>
      <c r="AO21" t="s">
        <v>185</v>
      </c>
    </row>
    <row r="22" spans="1:41" ht="15.75" x14ac:dyDescent="0.25">
      <c r="A22">
        <v>38</v>
      </c>
      <c r="B22" s="1">
        <v>46209</v>
      </c>
      <c r="C22" t="s">
        <v>41</v>
      </c>
      <c r="D22" t="s">
        <v>186</v>
      </c>
      <c r="E22" t="s">
        <v>187</v>
      </c>
      <c r="F22" t="s">
        <v>44</v>
      </c>
      <c r="G22" t="s">
        <v>45</v>
      </c>
      <c r="H22" s="2">
        <v>3780</v>
      </c>
      <c r="I22" t="s">
        <v>58</v>
      </c>
      <c r="J22" t="s">
        <v>140</v>
      </c>
      <c r="K22" t="s">
        <v>188</v>
      </c>
      <c r="L22" t="s">
        <v>142</v>
      </c>
      <c r="M22" t="s">
        <v>143</v>
      </c>
      <c r="N22" t="s">
        <v>51</v>
      </c>
      <c r="O22" t="s">
        <v>52</v>
      </c>
      <c r="P22" s="2">
        <v>0</v>
      </c>
      <c r="Q22" s="2">
        <v>0</v>
      </c>
      <c r="R22" s="3">
        <v>0</v>
      </c>
      <c r="S22" s="2">
        <v>0</v>
      </c>
      <c r="T22" t="s">
        <v>53</v>
      </c>
      <c r="U22" t="s">
        <v>189</v>
      </c>
      <c r="V22" t="s">
        <v>190</v>
      </c>
      <c r="W22" t="s">
        <v>56</v>
      </c>
      <c r="X22" s="2">
        <v>0</v>
      </c>
      <c r="Y22" s="3">
        <v>0</v>
      </c>
      <c r="Z22" s="2">
        <v>0</v>
      </c>
      <c r="AA22" s="3">
        <v>0</v>
      </c>
      <c r="AB22" s="2">
        <v>0</v>
      </c>
      <c r="AC22" t="s">
        <v>56</v>
      </c>
      <c r="AD22" s="2">
        <v>0</v>
      </c>
      <c r="AE22" s="2">
        <v>0</v>
      </c>
      <c r="AF22" s="2">
        <v>0</v>
      </c>
      <c r="AG22" t="s">
        <v>57</v>
      </c>
      <c r="AH22" t="s">
        <v>58</v>
      </c>
      <c r="AI22" t="s">
        <v>58</v>
      </c>
      <c r="AJ22" t="s">
        <v>57</v>
      </c>
      <c r="AK22" t="s">
        <v>57</v>
      </c>
      <c r="AL22" t="s">
        <v>57</v>
      </c>
      <c r="AM22" t="s">
        <v>57</v>
      </c>
      <c r="AN22" t="s">
        <v>59</v>
      </c>
      <c r="AO22" t="s">
        <v>191</v>
      </c>
    </row>
    <row r="23" spans="1:41" ht="15.75" x14ac:dyDescent="0.25">
      <c r="A23">
        <v>3971578</v>
      </c>
      <c r="B23" s="1">
        <v>46209</v>
      </c>
      <c r="C23" t="s">
        <v>41</v>
      </c>
      <c r="D23" t="s">
        <v>192</v>
      </c>
      <c r="E23" t="s">
        <v>193</v>
      </c>
      <c r="F23" t="s">
        <v>44</v>
      </c>
      <c r="G23" t="s">
        <v>45</v>
      </c>
      <c r="H23" s="2">
        <v>135.19999999999999</v>
      </c>
      <c r="I23" t="s">
        <v>194</v>
      </c>
      <c r="J23" t="s">
        <v>64</v>
      </c>
      <c r="K23" t="s">
        <v>195</v>
      </c>
      <c r="L23" t="s">
        <v>49</v>
      </c>
      <c r="M23" t="s">
        <v>50</v>
      </c>
      <c r="N23" t="s">
        <v>51</v>
      </c>
      <c r="O23" t="s">
        <v>196</v>
      </c>
      <c r="P23" s="2">
        <v>0</v>
      </c>
      <c r="Q23" s="2">
        <v>135.19999999999999</v>
      </c>
      <c r="R23" s="3">
        <v>5</v>
      </c>
      <c r="S23" s="2">
        <v>6.76</v>
      </c>
      <c r="T23" t="s">
        <v>53</v>
      </c>
      <c r="U23" t="s">
        <v>197</v>
      </c>
      <c r="V23" t="s">
        <v>198</v>
      </c>
      <c r="W23" t="s">
        <v>56</v>
      </c>
      <c r="X23" s="2">
        <v>0</v>
      </c>
      <c r="Y23" s="3">
        <v>0</v>
      </c>
      <c r="Z23" s="2">
        <v>0</v>
      </c>
      <c r="AA23" s="3">
        <v>0</v>
      </c>
      <c r="AB23" s="2">
        <v>0</v>
      </c>
      <c r="AC23" t="s">
        <v>56</v>
      </c>
      <c r="AD23" s="2">
        <v>0</v>
      </c>
      <c r="AE23" s="2">
        <v>0</v>
      </c>
      <c r="AF23" s="2">
        <v>0</v>
      </c>
      <c r="AG23" t="s">
        <v>57</v>
      </c>
      <c r="AH23" t="s">
        <v>58</v>
      </c>
      <c r="AI23" t="s">
        <v>58</v>
      </c>
      <c r="AJ23" t="s">
        <v>57</v>
      </c>
      <c r="AK23" t="s">
        <v>57</v>
      </c>
      <c r="AL23" t="s">
        <v>57</v>
      </c>
      <c r="AM23" t="s">
        <v>57</v>
      </c>
      <c r="AN23" t="s">
        <v>59</v>
      </c>
      <c r="AO23" t="s">
        <v>199</v>
      </c>
    </row>
    <row r="24" spans="1:41" ht="15.75" x14ac:dyDescent="0.25">
      <c r="A24">
        <v>371</v>
      </c>
      <c r="B24" s="1">
        <v>46209</v>
      </c>
      <c r="C24" t="s">
        <v>41</v>
      </c>
      <c r="D24" t="s">
        <v>200</v>
      </c>
      <c r="E24" t="s">
        <v>201</v>
      </c>
      <c r="F24" t="s">
        <v>44</v>
      </c>
      <c r="G24" t="s">
        <v>45</v>
      </c>
      <c r="H24" s="2">
        <v>150</v>
      </c>
      <c r="I24" t="s">
        <v>202</v>
      </c>
      <c r="J24" t="s">
        <v>47</v>
      </c>
      <c r="K24" t="s">
        <v>203</v>
      </c>
      <c r="L24" t="s">
        <v>49</v>
      </c>
      <c r="M24" t="s">
        <v>50</v>
      </c>
      <c r="N24" t="s">
        <v>51</v>
      </c>
      <c r="O24" t="s">
        <v>52</v>
      </c>
      <c r="P24" s="2">
        <v>0</v>
      </c>
      <c r="Q24" s="2">
        <v>150</v>
      </c>
      <c r="R24" s="3">
        <v>5</v>
      </c>
      <c r="S24" s="2">
        <v>7.5</v>
      </c>
      <c r="T24" t="s">
        <v>53</v>
      </c>
      <c r="U24" t="s">
        <v>204</v>
      </c>
      <c r="V24" t="s">
        <v>205</v>
      </c>
      <c r="W24" t="s">
        <v>56</v>
      </c>
      <c r="X24" s="2">
        <v>0</v>
      </c>
      <c r="Y24" s="3">
        <v>0</v>
      </c>
      <c r="Z24" s="2">
        <v>0</v>
      </c>
      <c r="AA24" s="3">
        <v>0</v>
      </c>
      <c r="AB24" s="2">
        <v>0</v>
      </c>
      <c r="AC24" t="s">
        <v>56</v>
      </c>
      <c r="AD24" s="2">
        <v>0</v>
      </c>
      <c r="AE24" s="2">
        <v>0</v>
      </c>
      <c r="AF24" s="2">
        <v>0</v>
      </c>
      <c r="AG24" t="s">
        <v>57</v>
      </c>
      <c r="AH24" t="s">
        <v>58</v>
      </c>
      <c r="AI24" t="s">
        <v>58</v>
      </c>
      <c r="AJ24" t="s">
        <v>57</v>
      </c>
      <c r="AK24" t="s">
        <v>57</v>
      </c>
      <c r="AL24" t="s">
        <v>57</v>
      </c>
      <c r="AM24" t="s">
        <v>57</v>
      </c>
      <c r="AN24" t="s">
        <v>59</v>
      </c>
      <c r="AO24" t="s">
        <v>206</v>
      </c>
    </row>
    <row r="25" spans="1:41" ht="15.75" x14ac:dyDescent="0.25">
      <c r="A25">
        <v>50</v>
      </c>
      <c r="B25" s="1">
        <v>46209</v>
      </c>
      <c r="C25" t="s">
        <v>41</v>
      </c>
      <c r="D25" t="s">
        <v>207</v>
      </c>
      <c r="E25" t="s">
        <v>208</v>
      </c>
      <c r="F25" t="s">
        <v>44</v>
      </c>
      <c r="G25" t="s">
        <v>45</v>
      </c>
      <c r="H25" s="2">
        <v>2680</v>
      </c>
      <c r="I25" t="s">
        <v>209</v>
      </c>
      <c r="J25" t="s">
        <v>47</v>
      </c>
      <c r="K25" t="s">
        <v>210</v>
      </c>
      <c r="L25" t="s">
        <v>49</v>
      </c>
      <c r="M25" t="s">
        <v>50</v>
      </c>
      <c r="N25" t="s">
        <v>51</v>
      </c>
      <c r="O25" t="s">
        <v>52</v>
      </c>
      <c r="P25" s="2">
        <v>0</v>
      </c>
      <c r="Q25" s="2">
        <v>2680</v>
      </c>
      <c r="R25" s="3">
        <v>2.5499999999999998</v>
      </c>
      <c r="S25" s="2">
        <v>68.34</v>
      </c>
      <c r="T25" t="s">
        <v>53</v>
      </c>
      <c r="U25" t="s">
        <v>211</v>
      </c>
      <c r="V25" t="s">
        <v>212</v>
      </c>
      <c r="W25" t="s">
        <v>56</v>
      </c>
      <c r="X25" s="2">
        <v>0</v>
      </c>
      <c r="Y25" s="3">
        <v>0</v>
      </c>
      <c r="Z25" s="2">
        <v>0</v>
      </c>
      <c r="AA25" s="3">
        <v>0</v>
      </c>
      <c r="AB25" s="2">
        <v>0</v>
      </c>
      <c r="AC25" t="s">
        <v>56</v>
      </c>
      <c r="AD25" s="2">
        <v>0</v>
      </c>
      <c r="AE25" s="2">
        <v>0</v>
      </c>
      <c r="AF25" s="2">
        <v>0</v>
      </c>
      <c r="AG25" t="s">
        <v>57</v>
      </c>
      <c r="AH25" t="s">
        <v>58</v>
      </c>
      <c r="AI25" t="s">
        <v>58</v>
      </c>
      <c r="AJ25" t="s">
        <v>57</v>
      </c>
      <c r="AK25" t="s">
        <v>57</v>
      </c>
      <c r="AL25" t="s">
        <v>57</v>
      </c>
      <c r="AM25" t="s">
        <v>57</v>
      </c>
      <c r="AN25" t="s">
        <v>59</v>
      </c>
      <c r="AO25" t="s">
        <v>213</v>
      </c>
    </row>
    <row r="26" spans="1:41" ht="15.75" x14ac:dyDescent="0.25">
      <c r="A26">
        <v>196</v>
      </c>
      <c r="B26" s="1">
        <v>46209</v>
      </c>
      <c r="C26" t="s">
        <v>41</v>
      </c>
      <c r="D26" t="s">
        <v>214</v>
      </c>
      <c r="E26" t="s">
        <v>215</v>
      </c>
      <c r="F26" t="s">
        <v>44</v>
      </c>
      <c r="G26" t="s">
        <v>45</v>
      </c>
      <c r="H26" s="2">
        <v>240</v>
      </c>
      <c r="I26" t="s">
        <v>58</v>
      </c>
      <c r="J26" t="s">
        <v>47</v>
      </c>
      <c r="K26" t="s">
        <v>216</v>
      </c>
      <c r="L26" t="s">
        <v>49</v>
      </c>
      <c r="M26" t="s">
        <v>50</v>
      </c>
      <c r="N26" t="s">
        <v>51</v>
      </c>
      <c r="O26" t="s">
        <v>217</v>
      </c>
      <c r="P26" s="2">
        <v>0</v>
      </c>
      <c r="Q26" s="2">
        <v>240</v>
      </c>
      <c r="R26" s="3">
        <v>5</v>
      </c>
      <c r="S26" s="2">
        <v>12</v>
      </c>
      <c r="T26" t="s">
        <v>53</v>
      </c>
      <c r="U26" t="s">
        <v>218</v>
      </c>
      <c r="V26" t="s">
        <v>219</v>
      </c>
      <c r="W26" t="s">
        <v>56</v>
      </c>
      <c r="X26" s="2">
        <v>0</v>
      </c>
      <c r="Y26" s="3">
        <v>0</v>
      </c>
      <c r="Z26" s="2">
        <v>0</v>
      </c>
      <c r="AA26" s="3">
        <v>0</v>
      </c>
      <c r="AB26" s="2">
        <v>0</v>
      </c>
      <c r="AC26" t="s">
        <v>56</v>
      </c>
      <c r="AD26" s="2">
        <v>0</v>
      </c>
      <c r="AE26" s="2">
        <v>0</v>
      </c>
      <c r="AF26" s="2">
        <v>0</v>
      </c>
      <c r="AG26" t="s">
        <v>57</v>
      </c>
      <c r="AH26" t="s">
        <v>58</v>
      </c>
      <c r="AI26" t="s">
        <v>220</v>
      </c>
      <c r="AJ26" t="s">
        <v>57</v>
      </c>
      <c r="AK26" t="s">
        <v>57</v>
      </c>
      <c r="AL26" t="s">
        <v>57</v>
      </c>
      <c r="AM26" t="s">
        <v>57</v>
      </c>
      <c r="AN26" t="s">
        <v>59</v>
      </c>
      <c r="AO26" t="s">
        <v>221</v>
      </c>
    </row>
    <row r="27" spans="1:41" ht="15.75" x14ac:dyDescent="0.25">
      <c r="A27">
        <v>664112</v>
      </c>
      <c r="B27" s="1">
        <v>46208</v>
      </c>
      <c r="C27" t="s">
        <v>41</v>
      </c>
      <c r="D27" t="s">
        <v>222</v>
      </c>
      <c r="E27" t="s">
        <v>223</v>
      </c>
      <c r="F27" t="s">
        <v>44</v>
      </c>
      <c r="G27" t="s">
        <v>45</v>
      </c>
      <c r="H27" s="2">
        <v>476.75</v>
      </c>
      <c r="I27" t="s">
        <v>224</v>
      </c>
      <c r="J27" t="s">
        <v>64</v>
      </c>
      <c r="K27" t="s">
        <v>225</v>
      </c>
      <c r="L27" t="s">
        <v>49</v>
      </c>
      <c r="M27" t="s">
        <v>50</v>
      </c>
      <c r="N27" t="s">
        <v>51</v>
      </c>
      <c r="O27" t="s">
        <v>196</v>
      </c>
      <c r="P27" s="2">
        <v>0</v>
      </c>
      <c r="Q27" s="2">
        <v>476.75</v>
      </c>
      <c r="R27" s="3">
        <v>5</v>
      </c>
      <c r="S27" s="2">
        <v>23.83</v>
      </c>
      <c r="T27" t="s">
        <v>53</v>
      </c>
      <c r="U27" t="s">
        <v>197</v>
      </c>
      <c r="V27" t="s">
        <v>226</v>
      </c>
      <c r="W27" t="s">
        <v>56</v>
      </c>
      <c r="X27" s="2">
        <v>0</v>
      </c>
      <c r="Y27" s="3">
        <v>0</v>
      </c>
      <c r="Z27" s="2">
        <v>3.1</v>
      </c>
      <c r="AA27" s="3">
        <v>0</v>
      </c>
      <c r="AB27" s="2">
        <v>14.3</v>
      </c>
      <c r="AC27" t="s">
        <v>56</v>
      </c>
      <c r="AD27" s="2">
        <v>0</v>
      </c>
      <c r="AE27" s="2">
        <v>0</v>
      </c>
      <c r="AF27" s="2">
        <v>0</v>
      </c>
      <c r="AG27" t="s">
        <v>57</v>
      </c>
      <c r="AH27" t="s">
        <v>58</v>
      </c>
      <c r="AI27" t="s">
        <v>58</v>
      </c>
      <c r="AJ27" t="s">
        <v>57</v>
      </c>
      <c r="AK27" t="s">
        <v>57</v>
      </c>
      <c r="AL27" t="s">
        <v>57</v>
      </c>
      <c r="AM27" t="s">
        <v>57</v>
      </c>
      <c r="AN27" t="s">
        <v>59</v>
      </c>
      <c r="AO27" t="s">
        <v>227</v>
      </c>
    </row>
    <row r="28" spans="1:41" ht="15.75" x14ac:dyDescent="0.25">
      <c r="A28">
        <v>47681</v>
      </c>
      <c r="B28" s="1">
        <v>46207</v>
      </c>
      <c r="C28" t="s">
        <v>41</v>
      </c>
      <c r="D28" t="s">
        <v>228</v>
      </c>
      <c r="E28" t="s">
        <v>229</v>
      </c>
      <c r="F28" t="s">
        <v>44</v>
      </c>
      <c r="G28" t="s">
        <v>45</v>
      </c>
      <c r="H28" s="2">
        <v>108.35</v>
      </c>
      <c r="I28" t="s">
        <v>58</v>
      </c>
      <c r="J28" t="s">
        <v>64</v>
      </c>
      <c r="K28" t="s">
        <v>230</v>
      </c>
      <c r="L28" t="s">
        <v>49</v>
      </c>
      <c r="M28" t="s">
        <v>50</v>
      </c>
      <c r="N28" t="s">
        <v>51</v>
      </c>
      <c r="O28" t="s">
        <v>231</v>
      </c>
      <c r="P28" s="2">
        <v>0</v>
      </c>
      <c r="Q28" s="2">
        <v>108.35</v>
      </c>
      <c r="R28" s="3">
        <v>2</v>
      </c>
      <c r="S28" s="2">
        <v>2.17</v>
      </c>
      <c r="T28" t="s">
        <v>53</v>
      </c>
      <c r="U28" t="s">
        <v>232</v>
      </c>
      <c r="V28" t="s">
        <v>233</v>
      </c>
      <c r="W28" t="s">
        <v>56</v>
      </c>
      <c r="X28" s="2">
        <v>0</v>
      </c>
      <c r="Y28" s="3">
        <v>0</v>
      </c>
      <c r="Z28" s="2">
        <v>0</v>
      </c>
      <c r="AA28" s="3">
        <v>0</v>
      </c>
      <c r="AB28" s="2">
        <v>0</v>
      </c>
      <c r="AC28" t="s">
        <v>56</v>
      </c>
      <c r="AD28" s="2">
        <v>0</v>
      </c>
      <c r="AE28" s="2">
        <v>0</v>
      </c>
      <c r="AF28" s="2">
        <v>0</v>
      </c>
      <c r="AG28" t="s">
        <v>57</v>
      </c>
      <c r="AH28" t="s">
        <v>58</v>
      </c>
      <c r="AI28" t="s">
        <v>234</v>
      </c>
      <c r="AJ28" t="s">
        <v>57</v>
      </c>
      <c r="AK28" t="s">
        <v>57</v>
      </c>
      <c r="AL28" t="s">
        <v>57</v>
      </c>
      <c r="AM28" t="s">
        <v>57</v>
      </c>
      <c r="AN28" t="s">
        <v>59</v>
      </c>
      <c r="AO28" t="s">
        <v>235</v>
      </c>
    </row>
    <row r="29" spans="1:41" ht="15.75" x14ac:dyDescent="0.25">
      <c r="A29">
        <v>5959549</v>
      </c>
      <c r="B29" s="1">
        <v>46206</v>
      </c>
      <c r="C29" t="s">
        <v>236</v>
      </c>
      <c r="D29" t="s">
        <v>237</v>
      </c>
      <c r="E29" t="s">
        <v>238</v>
      </c>
      <c r="F29" t="s">
        <v>44</v>
      </c>
      <c r="G29" t="s">
        <v>45</v>
      </c>
      <c r="H29" s="2">
        <v>64689.43</v>
      </c>
      <c r="I29" t="s">
        <v>239</v>
      </c>
      <c r="J29" t="s">
        <v>64</v>
      </c>
      <c r="K29" t="s">
        <v>240</v>
      </c>
      <c r="L29" t="s">
        <v>49</v>
      </c>
      <c r="M29" t="s">
        <v>50</v>
      </c>
      <c r="N29" t="s">
        <v>51</v>
      </c>
      <c r="O29" t="s">
        <v>196</v>
      </c>
      <c r="P29" s="2">
        <v>0</v>
      </c>
      <c r="Q29" s="2">
        <v>64689.43</v>
      </c>
      <c r="R29" s="3">
        <v>5</v>
      </c>
      <c r="S29" s="2">
        <v>3234.47</v>
      </c>
      <c r="T29" t="s">
        <v>53</v>
      </c>
      <c r="U29" t="s">
        <v>197</v>
      </c>
      <c r="V29" t="s">
        <v>241</v>
      </c>
      <c r="W29" t="s">
        <v>56</v>
      </c>
      <c r="X29" s="2">
        <v>0</v>
      </c>
      <c r="Y29" s="3">
        <v>0</v>
      </c>
      <c r="Z29" s="2">
        <v>420.48</v>
      </c>
      <c r="AA29" s="3">
        <v>0</v>
      </c>
      <c r="AB29" s="2">
        <v>1940.68</v>
      </c>
      <c r="AC29" t="s">
        <v>56</v>
      </c>
      <c r="AD29" s="2">
        <v>970.34</v>
      </c>
      <c r="AE29" s="2">
        <v>2361.16</v>
      </c>
      <c r="AF29" s="2">
        <v>0</v>
      </c>
      <c r="AG29" t="s">
        <v>57</v>
      </c>
      <c r="AH29" t="s">
        <v>58</v>
      </c>
      <c r="AI29" t="s">
        <v>58</v>
      </c>
      <c r="AJ29" t="s">
        <v>57</v>
      </c>
      <c r="AK29" t="s">
        <v>57</v>
      </c>
      <c r="AL29" t="s">
        <v>57</v>
      </c>
      <c r="AM29" t="s">
        <v>57</v>
      </c>
      <c r="AN29" t="s">
        <v>59</v>
      </c>
      <c r="AO29" t="s">
        <v>242</v>
      </c>
    </row>
    <row r="30" spans="1:41" ht="15.75" x14ac:dyDescent="0.25">
      <c r="A30">
        <v>15</v>
      </c>
      <c r="B30" s="1">
        <v>46206</v>
      </c>
      <c r="C30" t="s">
        <v>41</v>
      </c>
      <c r="D30" t="s">
        <v>243</v>
      </c>
      <c r="E30" t="s">
        <v>244</v>
      </c>
      <c r="F30" t="s">
        <v>44</v>
      </c>
      <c r="G30" t="s">
        <v>45</v>
      </c>
      <c r="H30" s="2">
        <v>1385</v>
      </c>
      <c r="I30" t="s">
        <v>245</v>
      </c>
      <c r="J30" t="s">
        <v>47</v>
      </c>
      <c r="K30" t="s">
        <v>246</v>
      </c>
      <c r="L30" t="s">
        <v>49</v>
      </c>
      <c r="M30" t="s">
        <v>50</v>
      </c>
      <c r="N30" t="s">
        <v>51</v>
      </c>
      <c r="O30" t="s">
        <v>52</v>
      </c>
      <c r="P30" s="2">
        <v>0</v>
      </c>
      <c r="Q30" s="2">
        <v>1385</v>
      </c>
      <c r="R30" s="3">
        <v>5</v>
      </c>
      <c r="S30" s="2">
        <v>69.25</v>
      </c>
      <c r="T30" t="s">
        <v>53</v>
      </c>
      <c r="U30" t="s">
        <v>247</v>
      </c>
      <c r="V30" t="s">
        <v>248</v>
      </c>
      <c r="W30" t="s">
        <v>56</v>
      </c>
      <c r="X30" s="2">
        <v>0</v>
      </c>
      <c r="Y30" s="3">
        <v>0</v>
      </c>
      <c r="Z30" s="2">
        <v>0</v>
      </c>
      <c r="AA30" s="3">
        <v>0</v>
      </c>
      <c r="AB30" s="2">
        <v>0</v>
      </c>
      <c r="AC30" t="s">
        <v>56</v>
      </c>
      <c r="AD30" s="2">
        <v>0</v>
      </c>
      <c r="AE30" s="2">
        <v>0</v>
      </c>
      <c r="AF30" s="2">
        <v>0</v>
      </c>
      <c r="AG30" t="s">
        <v>57</v>
      </c>
      <c r="AH30" t="s">
        <v>58</v>
      </c>
      <c r="AI30" t="s">
        <v>58</v>
      </c>
      <c r="AJ30" t="s">
        <v>57</v>
      </c>
      <c r="AK30" t="s">
        <v>57</v>
      </c>
      <c r="AL30" t="s">
        <v>57</v>
      </c>
      <c r="AM30" t="s">
        <v>57</v>
      </c>
      <c r="AN30" t="s">
        <v>59</v>
      </c>
      <c r="AO30" t="s">
        <v>249</v>
      </c>
    </row>
    <row r="31" spans="1:41" ht="15.75" x14ac:dyDescent="0.25">
      <c r="A31">
        <v>74</v>
      </c>
      <c r="B31" s="1">
        <v>46206</v>
      </c>
      <c r="C31" t="s">
        <v>41</v>
      </c>
      <c r="D31" t="s">
        <v>250</v>
      </c>
      <c r="E31" t="s">
        <v>251</v>
      </c>
      <c r="F31" t="s">
        <v>44</v>
      </c>
      <c r="G31" t="s">
        <v>45</v>
      </c>
      <c r="H31" s="2">
        <v>670.4</v>
      </c>
      <c r="I31" t="s">
        <v>252</v>
      </c>
      <c r="J31" t="s">
        <v>47</v>
      </c>
      <c r="K31" t="s">
        <v>253</v>
      </c>
      <c r="L31" t="s">
        <v>142</v>
      </c>
      <c r="M31" t="s">
        <v>50</v>
      </c>
      <c r="N31" t="s">
        <v>51</v>
      </c>
      <c r="O31" t="s">
        <v>254</v>
      </c>
      <c r="P31" s="2">
        <v>0</v>
      </c>
      <c r="Q31" s="2">
        <v>0</v>
      </c>
      <c r="R31" s="3">
        <v>0</v>
      </c>
      <c r="S31" s="2">
        <v>0</v>
      </c>
      <c r="T31" t="s">
        <v>53</v>
      </c>
      <c r="U31" t="s">
        <v>255</v>
      </c>
      <c r="V31" t="s">
        <v>256</v>
      </c>
      <c r="W31" t="s">
        <v>56</v>
      </c>
      <c r="X31" s="2">
        <v>0</v>
      </c>
      <c r="Y31" s="3">
        <v>0</v>
      </c>
      <c r="Z31" s="2">
        <v>0</v>
      </c>
      <c r="AA31" s="3">
        <v>0</v>
      </c>
      <c r="AB31" s="2">
        <v>0</v>
      </c>
      <c r="AC31" t="s">
        <v>56</v>
      </c>
      <c r="AD31" s="2">
        <v>0</v>
      </c>
      <c r="AE31" s="2">
        <v>0</v>
      </c>
      <c r="AF31" s="2">
        <v>0</v>
      </c>
      <c r="AG31" s="3">
        <v>6</v>
      </c>
      <c r="AH31" t="s">
        <v>58</v>
      </c>
      <c r="AI31" t="s">
        <v>58</v>
      </c>
      <c r="AJ31" t="s">
        <v>57</v>
      </c>
      <c r="AK31" t="s">
        <v>57</v>
      </c>
      <c r="AL31" t="s">
        <v>57</v>
      </c>
      <c r="AM31" t="s">
        <v>57</v>
      </c>
      <c r="AN31" t="s">
        <v>59</v>
      </c>
      <c r="AO31" t="s">
        <v>257</v>
      </c>
    </row>
    <row r="32" spans="1:41" ht="15.75" x14ac:dyDescent="0.25">
      <c r="A32">
        <v>8814</v>
      </c>
      <c r="B32" s="1">
        <v>46206</v>
      </c>
      <c r="C32" t="s">
        <v>41</v>
      </c>
      <c r="D32" t="s">
        <v>258</v>
      </c>
      <c r="E32" t="s">
        <v>259</v>
      </c>
      <c r="F32" t="s">
        <v>44</v>
      </c>
      <c r="G32" t="s">
        <v>45</v>
      </c>
      <c r="H32" s="2">
        <v>414.5</v>
      </c>
      <c r="I32" t="s">
        <v>260</v>
      </c>
      <c r="J32" t="s">
        <v>64</v>
      </c>
      <c r="K32" t="s">
        <v>261</v>
      </c>
      <c r="L32" t="s">
        <v>49</v>
      </c>
      <c r="M32" t="s">
        <v>50</v>
      </c>
      <c r="N32" t="s">
        <v>51</v>
      </c>
      <c r="O32" t="s">
        <v>52</v>
      </c>
      <c r="P32" s="2">
        <v>0</v>
      </c>
      <c r="Q32" s="2">
        <v>414.5</v>
      </c>
      <c r="R32" s="3">
        <v>5</v>
      </c>
      <c r="S32" s="2">
        <v>20.73</v>
      </c>
      <c r="T32" t="s">
        <v>53</v>
      </c>
      <c r="U32" t="s">
        <v>262</v>
      </c>
      <c r="V32" t="s">
        <v>263</v>
      </c>
      <c r="W32" t="s">
        <v>56</v>
      </c>
      <c r="X32" s="2">
        <v>0</v>
      </c>
      <c r="Y32" s="3">
        <v>0</v>
      </c>
      <c r="Z32" s="2">
        <v>0</v>
      </c>
      <c r="AA32" s="3">
        <v>0</v>
      </c>
      <c r="AB32" s="2">
        <v>0</v>
      </c>
      <c r="AC32" t="s">
        <v>56</v>
      </c>
      <c r="AD32" s="2">
        <v>0</v>
      </c>
      <c r="AE32" s="2">
        <v>0</v>
      </c>
      <c r="AF32" s="2">
        <v>0</v>
      </c>
      <c r="AG32" t="s">
        <v>57</v>
      </c>
      <c r="AH32" t="s">
        <v>58</v>
      </c>
      <c r="AI32" t="s">
        <v>58</v>
      </c>
      <c r="AJ32" t="s">
        <v>57</v>
      </c>
      <c r="AK32" t="s">
        <v>57</v>
      </c>
      <c r="AL32" t="s">
        <v>57</v>
      </c>
      <c r="AM32" t="s">
        <v>57</v>
      </c>
      <c r="AN32" t="s">
        <v>59</v>
      </c>
      <c r="AO32" t="s">
        <v>264</v>
      </c>
    </row>
    <row r="33" spans="1:41" ht="15.75" x14ac:dyDescent="0.25">
      <c r="A33">
        <v>609533</v>
      </c>
      <c r="B33" s="1">
        <v>46205</v>
      </c>
      <c r="C33" t="s">
        <v>41</v>
      </c>
      <c r="D33" t="s">
        <v>86</v>
      </c>
      <c r="E33" t="s">
        <v>87</v>
      </c>
      <c r="F33" t="s">
        <v>44</v>
      </c>
      <c r="G33" t="s">
        <v>45</v>
      </c>
      <c r="H33" s="2">
        <v>741.39</v>
      </c>
      <c r="I33" t="s">
        <v>88</v>
      </c>
      <c r="J33" t="s">
        <v>64</v>
      </c>
      <c r="K33" t="s">
        <v>265</v>
      </c>
      <c r="L33" t="s">
        <v>49</v>
      </c>
      <c r="M33" t="s">
        <v>50</v>
      </c>
      <c r="N33" t="s">
        <v>51</v>
      </c>
      <c r="O33" t="s">
        <v>52</v>
      </c>
      <c r="P33" s="2">
        <v>0</v>
      </c>
      <c r="Q33" s="2">
        <v>741.39</v>
      </c>
      <c r="R33" s="3">
        <v>5</v>
      </c>
      <c r="S33" s="2">
        <v>37.07</v>
      </c>
      <c r="T33" t="s">
        <v>53</v>
      </c>
      <c r="U33" t="s">
        <v>266</v>
      </c>
      <c r="V33" t="s">
        <v>267</v>
      </c>
      <c r="W33" t="s">
        <v>56</v>
      </c>
      <c r="X33" s="2">
        <v>0</v>
      </c>
      <c r="Y33" s="3">
        <v>0</v>
      </c>
      <c r="Z33" s="2">
        <v>0</v>
      </c>
      <c r="AA33" s="3">
        <v>0</v>
      </c>
      <c r="AB33" s="2">
        <v>0</v>
      </c>
      <c r="AC33" t="s">
        <v>56</v>
      </c>
      <c r="AD33" s="2">
        <v>11.12</v>
      </c>
      <c r="AE33" s="2">
        <v>0</v>
      </c>
      <c r="AF33" s="2">
        <v>0</v>
      </c>
      <c r="AG33" t="s">
        <v>57</v>
      </c>
      <c r="AH33" t="s">
        <v>58</v>
      </c>
      <c r="AI33" t="s">
        <v>58</v>
      </c>
      <c r="AJ33" t="s">
        <v>57</v>
      </c>
      <c r="AK33" t="s">
        <v>57</v>
      </c>
      <c r="AL33" t="s">
        <v>57</v>
      </c>
      <c r="AM33" t="s">
        <v>57</v>
      </c>
      <c r="AN33" t="s">
        <v>59</v>
      </c>
      <c r="AO33" t="s">
        <v>268</v>
      </c>
    </row>
    <row r="34" spans="1:41" ht="15.75" x14ac:dyDescent="0.25">
      <c r="A34">
        <v>2600000000114</v>
      </c>
      <c r="B34" s="1">
        <v>46205</v>
      </c>
      <c r="C34" t="s">
        <v>41</v>
      </c>
      <c r="D34" t="s">
        <v>127</v>
      </c>
      <c r="E34" t="s">
        <v>128</v>
      </c>
      <c r="F34" t="s">
        <v>44</v>
      </c>
      <c r="G34" t="s">
        <v>45</v>
      </c>
      <c r="H34" s="2">
        <v>5366.61</v>
      </c>
      <c r="I34" t="s">
        <v>129</v>
      </c>
      <c r="J34" t="s">
        <v>64</v>
      </c>
      <c r="K34" t="s">
        <v>269</v>
      </c>
      <c r="L34" t="s">
        <v>131</v>
      </c>
      <c r="M34" t="s">
        <v>50</v>
      </c>
      <c r="N34" t="s">
        <v>51</v>
      </c>
      <c r="O34" t="s">
        <v>132</v>
      </c>
      <c r="P34" s="2">
        <v>0</v>
      </c>
      <c r="Q34" s="2">
        <v>5366.61</v>
      </c>
      <c r="R34" s="3">
        <v>5</v>
      </c>
      <c r="S34" s="2">
        <v>268.33</v>
      </c>
      <c r="T34" t="s">
        <v>133</v>
      </c>
      <c r="U34" t="s">
        <v>134</v>
      </c>
      <c r="V34" t="s">
        <v>135</v>
      </c>
      <c r="W34" t="s">
        <v>56</v>
      </c>
      <c r="X34" s="2">
        <v>0</v>
      </c>
      <c r="Y34" s="3">
        <v>0</v>
      </c>
      <c r="Z34" s="2">
        <v>34.880000000000003</v>
      </c>
      <c r="AA34" s="3">
        <v>0</v>
      </c>
      <c r="AB34" s="2">
        <v>161</v>
      </c>
      <c r="AC34" t="s">
        <v>56</v>
      </c>
      <c r="AD34" s="2">
        <v>53.67</v>
      </c>
      <c r="AE34" s="2">
        <v>53.67</v>
      </c>
      <c r="AF34" s="2">
        <v>590.33000000000004</v>
      </c>
      <c r="AG34" t="s">
        <v>57</v>
      </c>
      <c r="AH34" t="s">
        <v>58</v>
      </c>
      <c r="AI34" t="s">
        <v>58</v>
      </c>
      <c r="AJ34" t="s">
        <v>57</v>
      </c>
      <c r="AK34" t="s">
        <v>57</v>
      </c>
      <c r="AL34" t="s">
        <v>57</v>
      </c>
      <c r="AM34" t="s">
        <v>57</v>
      </c>
      <c r="AN34" t="s">
        <v>59</v>
      </c>
      <c r="AO34" t="s">
        <v>270</v>
      </c>
    </row>
    <row r="35" spans="1:41" ht="15.75" x14ac:dyDescent="0.25">
      <c r="A35">
        <v>2600000000113</v>
      </c>
      <c r="B35" s="1">
        <v>46205</v>
      </c>
      <c r="C35" t="s">
        <v>41</v>
      </c>
      <c r="D35" t="s">
        <v>127</v>
      </c>
      <c r="E35" t="s">
        <v>128</v>
      </c>
      <c r="F35" t="s">
        <v>44</v>
      </c>
      <c r="G35" t="s">
        <v>45</v>
      </c>
      <c r="H35" s="2">
        <v>2776.75</v>
      </c>
      <c r="I35" t="s">
        <v>129</v>
      </c>
      <c r="J35" t="s">
        <v>64</v>
      </c>
      <c r="K35" t="s">
        <v>271</v>
      </c>
      <c r="L35" t="s">
        <v>131</v>
      </c>
      <c r="M35" t="s">
        <v>50</v>
      </c>
      <c r="N35" t="s">
        <v>51</v>
      </c>
      <c r="O35" t="s">
        <v>132</v>
      </c>
      <c r="P35" s="2">
        <v>0</v>
      </c>
      <c r="Q35" s="2">
        <v>2776.75</v>
      </c>
      <c r="R35" s="3">
        <v>5</v>
      </c>
      <c r="S35" s="2">
        <v>138.84</v>
      </c>
      <c r="T35" t="s">
        <v>133</v>
      </c>
      <c r="U35" t="s">
        <v>134</v>
      </c>
      <c r="V35" t="s">
        <v>135</v>
      </c>
      <c r="W35" t="s">
        <v>56</v>
      </c>
      <c r="X35" s="2">
        <v>0</v>
      </c>
      <c r="Y35" s="3">
        <v>0</v>
      </c>
      <c r="Z35" s="2">
        <v>18.05</v>
      </c>
      <c r="AA35" s="3">
        <v>0</v>
      </c>
      <c r="AB35" s="2">
        <v>83.3</v>
      </c>
      <c r="AC35" t="s">
        <v>56</v>
      </c>
      <c r="AD35" s="2">
        <v>27.77</v>
      </c>
      <c r="AE35" s="2">
        <v>27.77</v>
      </c>
      <c r="AF35" s="2">
        <v>305.44</v>
      </c>
      <c r="AG35" t="s">
        <v>57</v>
      </c>
      <c r="AH35" t="s">
        <v>58</v>
      </c>
      <c r="AI35" t="s">
        <v>58</v>
      </c>
      <c r="AJ35" t="s">
        <v>57</v>
      </c>
      <c r="AK35" t="s">
        <v>57</v>
      </c>
      <c r="AL35" t="s">
        <v>57</v>
      </c>
      <c r="AM35" t="s">
        <v>57</v>
      </c>
      <c r="AN35" t="s">
        <v>59</v>
      </c>
      <c r="AO35" t="s">
        <v>272</v>
      </c>
    </row>
    <row r="36" spans="1:41" ht="15.75" x14ac:dyDescent="0.25">
      <c r="A36">
        <v>2600000000112</v>
      </c>
      <c r="B36" s="1">
        <v>46205</v>
      </c>
      <c r="C36" t="s">
        <v>41</v>
      </c>
      <c r="D36" t="s">
        <v>127</v>
      </c>
      <c r="E36" t="s">
        <v>128</v>
      </c>
      <c r="F36" t="s">
        <v>44</v>
      </c>
      <c r="G36" t="s">
        <v>45</v>
      </c>
      <c r="H36" s="2">
        <v>4721.46</v>
      </c>
      <c r="I36" t="s">
        <v>129</v>
      </c>
      <c r="J36" t="s">
        <v>64</v>
      </c>
      <c r="K36" t="s">
        <v>273</v>
      </c>
      <c r="L36" t="s">
        <v>131</v>
      </c>
      <c r="M36" t="s">
        <v>50</v>
      </c>
      <c r="N36" t="s">
        <v>51</v>
      </c>
      <c r="O36" t="s">
        <v>132</v>
      </c>
      <c r="P36" s="2">
        <v>0</v>
      </c>
      <c r="Q36" s="2">
        <v>4721.46</v>
      </c>
      <c r="R36" s="3">
        <v>5</v>
      </c>
      <c r="S36" s="2">
        <v>236.07</v>
      </c>
      <c r="T36" t="s">
        <v>133</v>
      </c>
      <c r="U36" t="s">
        <v>134</v>
      </c>
      <c r="V36" t="s">
        <v>135</v>
      </c>
      <c r="W36" t="s">
        <v>56</v>
      </c>
      <c r="X36" s="2">
        <v>0</v>
      </c>
      <c r="Y36" s="3">
        <v>0</v>
      </c>
      <c r="Z36" s="2">
        <v>30.69</v>
      </c>
      <c r="AA36" s="3">
        <v>0</v>
      </c>
      <c r="AB36" s="2">
        <v>141.63999999999999</v>
      </c>
      <c r="AC36" t="s">
        <v>56</v>
      </c>
      <c r="AD36" s="2">
        <v>47.21</v>
      </c>
      <c r="AE36" s="2">
        <v>47.21</v>
      </c>
      <c r="AF36" s="2">
        <v>519.36</v>
      </c>
      <c r="AG36" t="s">
        <v>57</v>
      </c>
      <c r="AH36" t="s">
        <v>58</v>
      </c>
      <c r="AI36" t="s">
        <v>58</v>
      </c>
      <c r="AJ36" t="s">
        <v>57</v>
      </c>
      <c r="AK36" t="s">
        <v>57</v>
      </c>
      <c r="AL36" t="s">
        <v>57</v>
      </c>
      <c r="AM36" t="s">
        <v>57</v>
      </c>
      <c r="AN36" t="s">
        <v>59</v>
      </c>
      <c r="AO36" t="s">
        <v>274</v>
      </c>
    </row>
    <row r="37" spans="1:41" ht="15.75" x14ac:dyDescent="0.25">
      <c r="A37">
        <v>106</v>
      </c>
      <c r="B37" s="1">
        <v>46205</v>
      </c>
      <c r="C37" t="s">
        <v>41</v>
      </c>
      <c r="D37" t="s">
        <v>275</v>
      </c>
      <c r="E37" t="s">
        <v>276</v>
      </c>
      <c r="F37" t="s">
        <v>44</v>
      </c>
      <c r="G37" t="s">
        <v>45</v>
      </c>
      <c r="H37" s="2">
        <v>10875</v>
      </c>
      <c r="I37" t="s">
        <v>277</v>
      </c>
      <c r="J37" t="s">
        <v>47</v>
      </c>
      <c r="K37" t="s">
        <v>278</v>
      </c>
      <c r="L37" t="s">
        <v>49</v>
      </c>
      <c r="M37" t="s">
        <v>50</v>
      </c>
      <c r="N37" t="s">
        <v>122</v>
      </c>
      <c r="O37" t="s">
        <v>123</v>
      </c>
      <c r="P37" s="2">
        <v>0</v>
      </c>
      <c r="Q37" s="2">
        <v>0</v>
      </c>
      <c r="R37" s="3">
        <v>0</v>
      </c>
      <c r="S37" s="2">
        <v>0</v>
      </c>
      <c r="T37" t="s">
        <v>53</v>
      </c>
      <c r="U37" t="s">
        <v>279</v>
      </c>
      <c r="V37" t="s">
        <v>280</v>
      </c>
      <c r="W37" t="s">
        <v>56</v>
      </c>
      <c r="X37" s="2">
        <v>0</v>
      </c>
      <c r="Y37" s="3">
        <v>0</v>
      </c>
      <c r="Z37" s="2">
        <v>0</v>
      </c>
      <c r="AA37" s="3">
        <v>0</v>
      </c>
      <c r="AB37" s="2">
        <v>0</v>
      </c>
      <c r="AC37" t="s">
        <v>56</v>
      </c>
      <c r="AD37" s="2">
        <v>0</v>
      </c>
      <c r="AE37" s="2">
        <v>0</v>
      </c>
      <c r="AF37" s="2">
        <v>0</v>
      </c>
      <c r="AG37" t="s">
        <v>57</v>
      </c>
      <c r="AH37" t="s">
        <v>58</v>
      </c>
      <c r="AI37" t="s">
        <v>58</v>
      </c>
      <c r="AJ37" t="s">
        <v>57</v>
      </c>
      <c r="AK37" t="s">
        <v>57</v>
      </c>
      <c r="AL37" t="s">
        <v>57</v>
      </c>
      <c r="AM37" t="s">
        <v>57</v>
      </c>
      <c r="AN37" t="s">
        <v>59</v>
      </c>
      <c r="AO37" t="s">
        <v>281</v>
      </c>
    </row>
    <row r="38" spans="1:41" ht="15.75" x14ac:dyDescent="0.25">
      <c r="A38">
        <v>2080</v>
      </c>
      <c r="B38" s="1">
        <v>46205</v>
      </c>
      <c r="C38" t="s">
        <v>41</v>
      </c>
      <c r="D38" t="s">
        <v>282</v>
      </c>
      <c r="E38" t="s">
        <v>283</v>
      </c>
      <c r="F38" t="s">
        <v>44</v>
      </c>
      <c r="G38" t="s">
        <v>45</v>
      </c>
      <c r="H38" s="2">
        <v>1825.1</v>
      </c>
      <c r="I38" t="s">
        <v>284</v>
      </c>
      <c r="J38" t="s">
        <v>47</v>
      </c>
      <c r="K38" t="s">
        <v>285</v>
      </c>
      <c r="L38" t="s">
        <v>49</v>
      </c>
      <c r="M38" t="s">
        <v>50</v>
      </c>
      <c r="N38" t="s">
        <v>122</v>
      </c>
      <c r="O38" t="s">
        <v>123</v>
      </c>
      <c r="P38" s="2">
        <v>0</v>
      </c>
      <c r="Q38" s="2">
        <v>0</v>
      </c>
      <c r="R38" s="3">
        <v>0</v>
      </c>
      <c r="S38" s="2">
        <v>0</v>
      </c>
      <c r="T38" t="s">
        <v>53</v>
      </c>
      <c r="U38" t="s">
        <v>286</v>
      </c>
      <c r="V38" t="s">
        <v>287</v>
      </c>
      <c r="W38" t="s">
        <v>56</v>
      </c>
      <c r="X38" s="2">
        <v>0</v>
      </c>
      <c r="Y38" s="3">
        <v>0</v>
      </c>
      <c r="Z38" s="2">
        <v>0</v>
      </c>
      <c r="AA38" s="3">
        <v>0</v>
      </c>
      <c r="AB38" s="2">
        <v>0</v>
      </c>
      <c r="AC38" t="s">
        <v>56</v>
      </c>
      <c r="AD38" s="2">
        <v>0</v>
      </c>
      <c r="AE38" s="2">
        <v>0</v>
      </c>
      <c r="AF38" s="2">
        <v>0</v>
      </c>
      <c r="AG38" t="s">
        <v>57</v>
      </c>
      <c r="AH38" t="s">
        <v>58</v>
      </c>
      <c r="AI38" t="s">
        <v>58</v>
      </c>
      <c r="AJ38" t="s">
        <v>57</v>
      </c>
      <c r="AK38" t="s">
        <v>57</v>
      </c>
      <c r="AL38" t="s">
        <v>57</v>
      </c>
      <c r="AM38" t="s">
        <v>57</v>
      </c>
      <c r="AN38" t="s">
        <v>59</v>
      </c>
      <c r="AO38" t="s">
        <v>288</v>
      </c>
    </row>
    <row r="39" spans="1:41" ht="15.75" x14ac:dyDescent="0.25">
      <c r="A39">
        <v>109259</v>
      </c>
      <c r="B39" s="1">
        <v>46205</v>
      </c>
      <c r="C39" t="s">
        <v>236</v>
      </c>
      <c r="D39" t="s">
        <v>289</v>
      </c>
      <c r="E39" t="s">
        <v>290</v>
      </c>
      <c r="F39" t="s">
        <v>44</v>
      </c>
      <c r="G39" t="s">
        <v>45</v>
      </c>
      <c r="H39" s="2">
        <v>442.63</v>
      </c>
      <c r="I39" t="s">
        <v>291</v>
      </c>
      <c r="J39" t="s">
        <v>64</v>
      </c>
      <c r="K39" t="s">
        <v>292</v>
      </c>
      <c r="L39" t="s">
        <v>49</v>
      </c>
      <c r="M39" t="s">
        <v>50</v>
      </c>
      <c r="N39" t="s">
        <v>51</v>
      </c>
      <c r="O39" t="s">
        <v>196</v>
      </c>
      <c r="P39" s="2">
        <v>0</v>
      </c>
      <c r="Q39" s="2">
        <v>442.63</v>
      </c>
      <c r="R39" s="3">
        <v>2.9</v>
      </c>
      <c r="S39" s="2">
        <v>12.83</v>
      </c>
      <c r="T39" t="s">
        <v>53</v>
      </c>
      <c r="U39" t="s">
        <v>293</v>
      </c>
      <c r="V39" t="s">
        <v>294</v>
      </c>
      <c r="W39" t="s">
        <v>56</v>
      </c>
      <c r="X39" s="2">
        <v>0</v>
      </c>
      <c r="Y39" s="3">
        <v>0</v>
      </c>
      <c r="Z39" s="2">
        <v>2.88</v>
      </c>
      <c r="AA39" s="3">
        <v>0</v>
      </c>
      <c r="AB39" s="2">
        <v>13.28</v>
      </c>
      <c r="AC39" t="s">
        <v>56</v>
      </c>
      <c r="AD39" s="2">
        <v>0</v>
      </c>
      <c r="AE39" s="2">
        <v>20.59</v>
      </c>
      <c r="AF39" s="2">
        <v>0</v>
      </c>
      <c r="AG39" t="s">
        <v>57</v>
      </c>
      <c r="AH39" t="s">
        <v>58</v>
      </c>
      <c r="AI39" t="s">
        <v>58</v>
      </c>
      <c r="AJ39" t="s">
        <v>57</v>
      </c>
      <c r="AK39" t="s">
        <v>57</v>
      </c>
      <c r="AL39" t="s">
        <v>57</v>
      </c>
      <c r="AM39" t="s">
        <v>57</v>
      </c>
      <c r="AN39" t="s">
        <v>59</v>
      </c>
      <c r="AO39" t="s">
        <v>295</v>
      </c>
    </row>
    <row r="40" spans="1:41" ht="15.75" x14ac:dyDescent="0.25">
      <c r="A40">
        <v>566073</v>
      </c>
      <c r="B40" s="1">
        <v>46204</v>
      </c>
      <c r="C40" t="s">
        <v>236</v>
      </c>
      <c r="D40" t="s">
        <v>296</v>
      </c>
      <c r="E40" t="s">
        <v>297</v>
      </c>
      <c r="F40" t="s">
        <v>44</v>
      </c>
      <c r="G40" t="s">
        <v>45</v>
      </c>
      <c r="H40" s="2">
        <v>2556.2199999999998</v>
      </c>
      <c r="I40" t="s">
        <v>298</v>
      </c>
      <c r="J40" t="s">
        <v>64</v>
      </c>
      <c r="K40" t="s">
        <v>299</v>
      </c>
      <c r="L40" t="s">
        <v>49</v>
      </c>
      <c r="M40" t="s">
        <v>50</v>
      </c>
      <c r="N40" t="s">
        <v>51</v>
      </c>
      <c r="O40" t="s">
        <v>196</v>
      </c>
      <c r="P40" s="2">
        <v>0</v>
      </c>
      <c r="Q40" s="2">
        <v>2556.2199999999998</v>
      </c>
      <c r="R40" s="3">
        <v>2.9</v>
      </c>
      <c r="S40" s="2">
        <v>74.13</v>
      </c>
      <c r="T40" t="s">
        <v>53</v>
      </c>
      <c r="U40" t="s">
        <v>293</v>
      </c>
      <c r="V40" t="s">
        <v>300</v>
      </c>
      <c r="W40" t="s">
        <v>56</v>
      </c>
      <c r="X40" s="2">
        <v>0</v>
      </c>
      <c r="Y40" s="3">
        <v>0</v>
      </c>
      <c r="Z40" s="2">
        <v>16.62</v>
      </c>
      <c r="AA40" s="3">
        <v>0</v>
      </c>
      <c r="AB40" s="2">
        <v>76.69</v>
      </c>
      <c r="AC40" t="s">
        <v>56</v>
      </c>
      <c r="AD40" s="2">
        <v>38.340000000000003</v>
      </c>
      <c r="AE40" s="2">
        <v>118.87</v>
      </c>
      <c r="AF40" s="2">
        <v>0</v>
      </c>
      <c r="AG40" t="s">
        <v>57</v>
      </c>
      <c r="AH40" t="s">
        <v>58</v>
      </c>
      <c r="AI40" t="s">
        <v>58</v>
      </c>
      <c r="AJ40" t="s">
        <v>57</v>
      </c>
      <c r="AK40" t="s">
        <v>57</v>
      </c>
      <c r="AL40" t="s">
        <v>57</v>
      </c>
      <c r="AM40" t="s">
        <v>57</v>
      </c>
      <c r="AN40" t="s">
        <v>59</v>
      </c>
      <c r="AO40" t="s">
        <v>301</v>
      </c>
    </row>
    <row r="41" spans="1:41" ht="15.75" x14ac:dyDescent="0.25">
      <c r="A41">
        <v>346</v>
      </c>
      <c r="B41" s="1">
        <v>46204</v>
      </c>
      <c r="C41" t="s">
        <v>41</v>
      </c>
      <c r="D41" t="s">
        <v>302</v>
      </c>
      <c r="E41" t="s">
        <v>303</v>
      </c>
      <c r="F41" t="s">
        <v>44</v>
      </c>
      <c r="G41" t="s">
        <v>45</v>
      </c>
      <c r="H41" s="2">
        <v>1782</v>
      </c>
      <c r="I41" t="s">
        <v>304</v>
      </c>
      <c r="J41" t="s">
        <v>47</v>
      </c>
      <c r="K41" t="s">
        <v>305</v>
      </c>
      <c r="L41" t="s">
        <v>168</v>
      </c>
      <c r="M41" t="s">
        <v>50</v>
      </c>
      <c r="N41" t="s">
        <v>51</v>
      </c>
      <c r="O41" t="s">
        <v>132</v>
      </c>
      <c r="P41" s="2">
        <v>0</v>
      </c>
      <c r="Q41" s="2">
        <v>1782</v>
      </c>
      <c r="R41" s="3">
        <v>2</v>
      </c>
      <c r="S41" s="2">
        <v>35.64</v>
      </c>
      <c r="T41" t="s">
        <v>133</v>
      </c>
      <c r="U41" t="s">
        <v>306</v>
      </c>
      <c r="V41" t="s">
        <v>307</v>
      </c>
      <c r="W41" t="s">
        <v>56</v>
      </c>
      <c r="X41" s="2">
        <v>0</v>
      </c>
      <c r="Y41" s="3">
        <v>0</v>
      </c>
      <c r="Z41" s="2">
        <v>0</v>
      </c>
      <c r="AA41" s="3">
        <v>0</v>
      </c>
      <c r="AB41" s="2">
        <v>0</v>
      </c>
      <c r="AC41" t="s">
        <v>56</v>
      </c>
      <c r="AD41" s="2">
        <v>0</v>
      </c>
      <c r="AE41" s="2">
        <v>0</v>
      </c>
      <c r="AF41" s="2">
        <v>0</v>
      </c>
      <c r="AG41" t="s">
        <v>57</v>
      </c>
      <c r="AH41" t="s">
        <v>58</v>
      </c>
      <c r="AI41" t="s">
        <v>58</v>
      </c>
      <c r="AJ41" t="s">
        <v>57</v>
      </c>
      <c r="AK41" t="s">
        <v>57</v>
      </c>
      <c r="AL41" t="s">
        <v>57</v>
      </c>
      <c r="AM41" t="s">
        <v>57</v>
      </c>
      <c r="AN41" t="s">
        <v>59</v>
      </c>
      <c r="AO41" t="s">
        <v>308</v>
      </c>
    </row>
    <row r="42" spans="1:41" ht="15.75" x14ac:dyDescent="0.25">
      <c r="A42">
        <v>637</v>
      </c>
      <c r="B42" s="1">
        <v>46204</v>
      </c>
      <c r="C42" t="s">
        <v>41</v>
      </c>
      <c r="D42" t="s">
        <v>309</v>
      </c>
      <c r="E42" t="s">
        <v>310</v>
      </c>
      <c r="F42" t="s">
        <v>44</v>
      </c>
      <c r="G42" t="s">
        <v>45</v>
      </c>
      <c r="H42" s="2">
        <v>5728.02</v>
      </c>
      <c r="I42" t="s">
        <v>58</v>
      </c>
      <c r="J42" t="s">
        <v>64</v>
      </c>
      <c r="K42" t="s">
        <v>311</v>
      </c>
      <c r="L42" t="s">
        <v>49</v>
      </c>
      <c r="M42" t="s">
        <v>50</v>
      </c>
      <c r="N42" t="s">
        <v>51</v>
      </c>
      <c r="O42" t="s">
        <v>312</v>
      </c>
      <c r="P42" s="2">
        <v>0</v>
      </c>
      <c r="Q42" s="2">
        <v>5728.02</v>
      </c>
      <c r="R42" s="3">
        <v>2</v>
      </c>
      <c r="S42" s="2">
        <v>114.56</v>
      </c>
      <c r="T42" t="s">
        <v>53</v>
      </c>
      <c r="U42" t="s">
        <v>313</v>
      </c>
      <c r="V42" t="s">
        <v>314</v>
      </c>
      <c r="W42" t="s">
        <v>315</v>
      </c>
      <c r="X42" s="2">
        <v>5728.02</v>
      </c>
      <c r="Y42" s="3">
        <v>0.65</v>
      </c>
      <c r="Z42" s="2">
        <v>37.229999999999997</v>
      </c>
      <c r="AA42" s="3">
        <v>3</v>
      </c>
      <c r="AB42" s="2">
        <v>171.84</v>
      </c>
      <c r="AC42" t="s">
        <v>316</v>
      </c>
      <c r="AD42" s="2">
        <v>85.92</v>
      </c>
      <c r="AE42" s="2">
        <v>266.35000000000002</v>
      </c>
      <c r="AF42" s="2">
        <v>0</v>
      </c>
      <c r="AG42" t="s">
        <v>57</v>
      </c>
      <c r="AH42" t="s">
        <v>58</v>
      </c>
      <c r="AI42" t="s">
        <v>58</v>
      </c>
      <c r="AJ42" t="s">
        <v>57</v>
      </c>
      <c r="AK42" t="s">
        <v>57</v>
      </c>
      <c r="AL42" t="s">
        <v>57</v>
      </c>
      <c r="AM42" t="s">
        <v>57</v>
      </c>
      <c r="AN42" t="s">
        <v>59</v>
      </c>
      <c r="AO42" t="s">
        <v>317</v>
      </c>
    </row>
    <row r="43" spans="1:41" ht="15.75" x14ac:dyDescent="0.25">
      <c r="A43">
        <v>5282</v>
      </c>
      <c r="B43" s="1">
        <v>46204</v>
      </c>
      <c r="C43" t="s">
        <v>41</v>
      </c>
      <c r="D43" t="s">
        <v>42</v>
      </c>
      <c r="E43" t="s">
        <v>43</v>
      </c>
      <c r="F43" t="s">
        <v>44</v>
      </c>
      <c r="G43" t="s">
        <v>45</v>
      </c>
      <c r="H43" s="2">
        <v>676.49</v>
      </c>
      <c r="I43" t="s">
        <v>46</v>
      </c>
      <c r="J43" t="s">
        <v>47</v>
      </c>
      <c r="K43" t="s">
        <v>318</v>
      </c>
      <c r="L43" t="s">
        <v>49</v>
      </c>
      <c r="M43" t="s">
        <v>50</v>
      </c>
      <c r="N43" t="s">
        <v>51</v>
      </c>
      <c r="O43" t="s">
        <v>52</v>
      </c>
      <c r="P43" s="2">
        <v>0</v>
      </c>
      <c r="Q43" s="2">
        <v>676.49</v>
      </c>
      <c r="R43" s="3">
        <v>2.84</v>
      </c>
      <c r="S43" s="2">
        <v>19.21</v>
      </c>
      <c r="T43" t="s">
        <v>53</v>
      </c>
      <c r="U43" t="s">
        <v>54</v>
      </c>
      <c r="V43" t="s">
        <v>319</v>
      </c>
      <c r="W43" t="s">
        <v>56</v>
      </c>
      <c r="X43" s="2">
        <v>0</v>
      </c>
      <c r="Y43" s="3">
        <v>0</v>
      </c>
      <c r="Z43" s="2">
        <v>0</v>
      </c>
      <c r="AA43" s="3">
        <v>0</v>
      </c>
      <c r="AB43" s="2">
        <v>0</v>
      </c>
      <c r="AC43" t="s">
        <v>56</v>
      </c>
      <c r="AD43" s="2">
        <v>0</v>
      </c>
      <c r="AE43" s="2">
        <v>0</v>
      </c>
      <c r="AF43" s="2">
        <v>0</v>
      </c>
      <c r="AG43" t="s">
        <v>57</v>
      </c>
      <c r="AH43" t="s">
        <v>58</v>
      </c>
      <c r="AI43" t="s">
        <v>58</v>
      </c>
      <c r="AJ43" t="s">
        <v>57</v>
      </c>
      <c r="AK43" t="s">
        <v>57</v>
      </c>
      <c r="AL43" t="s">
        <v>57</v>
      </c>
      <c r="AM43" t="s">
        <v>57</v>
      </c>
      <c r="AN43" t="s">
        <v>59</v>
      </c>
      <c r="AO43" t="s">
        <v>320</v>
      </c>
    </row>
    <row r="44" spans="1:41" ht="15.75" x14ac:dyDescent="0.25">
      <c r="A44">
        <v>112</v>
      </c>
      <c r="B44" s="1">
        <v>46204</v>
      </c>
      <c r="C44" t="s">
        <v>41</v>
      </c>
      <c r="D44" t="s">
        <v>321</v>
      </c>
      <c r="E44" t="s">
        <v>322</v>
      </c>
      <c r="F44" t="s">
        <v>44</v>
      </c>
      <c r="G44" t="s">
        <v>45</v>
      </c>
      <c r="H44" s="2">
        <v>400</v>
      </c>
      <c r="I44" t="s">
        <v>323</v>
      </c>
      <c r="J44" t="s">
        <v>47</v>
      </c>
      <c r="K44" t="s">
        <v>324</v>
      </c>
      <c r="L44" t="s">
        <v>49</v>
      </c>
      <c r="M44" t="s">
        <v>50</v>
      </c>
      <c r="N44" t="s">
        <v>51</v>
      </c>
      <c r="O44" t="s">
        <v>52</v>
      </c>
      <c r="P44" s="2">
        <v>0</v>
      </c>
      <c r="Q44" s="2">
        <v>400</v>
      </c>
      <c r="R44" s="3">
        <v>2.0099999999999998</v>
      </c>
      <c r="S44" s="2">
        <v>8.0399999999999991</v>
      </c>
      <c r="T44" t="s">
        <v>53</v>
      </c>
      <c r="U44" t="s">
        <v>204</v>
      </c>
      <c r="V44" t="s">
        <v>325</v>
      </c>
      <c r="W44" t="s">
        <v>56</v>
      </c>
      <c r="X44" s="2">
        <v>0</v>
      </c>
      <c r="Y44" s="3">
        <v>0</v>
      </c>
      <c r="Z44" s="2">
        <v>0</v>
      </c>
      <c r="AA44" s="3">
        <v>0</v>
      </c>
      <c r="AB44" s="2">
        <v>0</v>
      </c>
      <c r="AC44" t="s">
        <v>56</v>
      </c>
      <c r="AD44" s="2">
        <v>0</v>
      </c>
      <c r="AE44" s="2">
        <v>0</v>
      </c>
      <c r="AF44" s="2">
        <v>0</v>
      </c>
      <c r="AG44" t="s">
        <v>57</v>
      </c>
      <c r="AH44" t="s">
        <v>58</v>
      </c>
      <c r="AI44" t="s">
        <v>58</v>
      </c>
      <c r="AJ44" t="s">
        <v>57</v>
      </c>
      <c r="AK44" t="s">
        <v>57</v>
      </c>
      <c r="AL44" t="s">
        <v>57</v>
      </c>
      <c r="AM44" t="s">
        <v>57</v>
      </c>
      <c r="AN44" t="s">
        <v>59</v>
      </c>
      <c r="AO44" t="s">
        <v>326</v>
      </c>
    </row>
    <row r="45" spans="1:41" ht="15.75" x14ac:dyDescent="0.25">
      <c r="A45">
        <v>46</v>
      </c>
      <c r="B45" s="1">
        <v>46204</v>
      </c>
      <c r="C45" t="s">
        <v>41</v>
      </c>
      <c r="D45" t="s">
        <v>207</v>
      </c>
      <c r="E45" t="s">
        <v>208</v>
      </c>
      <c r="F45" t="s">
        <v>44</v>
      </c>
      <c r="G45" t="s">
        <v>45</v>
      </c>
      <c r="H45" s="2">
        <v>300</v>
      </c>
      <c r="I45" t="s">
        <v>209</v>
      </c>
      <c r="J45" t="s">
        <v>47</v>
      </c>
      <c r="K45" t="s">
        <v>327</v>
      </c>
      <c r="L45" t="s">
        <v>49</v>
      </c>
      <c r="M45" t="s">
        <v>50</v>
      </c>
      <c r="N45" t="s">
        <v>51</v>
      </c>
      <c r="O45" t="s">
        <v>52</v>
      </c>
      <c r="P45" s="2">
        <v>0</v>
      </c>
      <c r="Q45" s="2">
        <v>300</v>
      </c>
      <c r="R45" s="3">
        <v>2.5499999999999998</v>
      </c>
      <c r="S45" s="2">
        <v>7.65</v>
      </c>
      <c r="T45" t="s">
        <v>53</v>
      </c>
      <c r="U45" t="s">
        <v>211</v>
      </c>
      <c r="V45" t="s">
        <v>328</v>
      </c>
      <c r="W45" t="s">
        <v>56</v>
      </c>
      <c r="X45" s="2">
        <v>0</v>
      </c>
      <c r="Y45" s="3">
        <v>0</v>
      </c>
      <c r="Z45" s="2">
        <v>0</v>
      </c>
      <c r="AA45" s="3">
        <v>0</v>
      </c>
      <c r="AB45" s="2">
        <v>0</v>
      </c>
      <c r="AC45" t="s">
        <v>56</v>
      </c>
      <c r="AD45" s="2">
        <v>0</v>
      </c>
      <c r="AE45" s="2">
        <v>0</v>
      </c>
      <c r="AF45" s="2">
        <v>0</v>
      </c>
      <c r="AG45" t="s">
        <v>57</v>
      </c>
      <c r="AH45" t="s">
        <v>58</v>
      </c>
      <c r="AI45" t="s">
        <v>58</v>
      </c>
      <c r="AJ45" t="s">
        <v>57</v>
      </c>
      <c r="AK45" t="s">
        <v>57</v>
      </c>
      <c r="AL45" t="s">
        <v>57</v>
      </c>
      <c r="AM45" t="s">
        <v>57</v>
      </c>
      <c r="AN45" t="s">
        <v>59</v>
      </c>
      <c r="AO45" t="s">
        <v>329</v>
      </c>
    </row>
    <row r="46" spans="1:41" ht="15.75" x14ac:dyDescent="0.25">
      <c r="A46">
        <v>21087</v>
      </c>
      <c r="B46" s="1">
        <v>46204</v>
      </c>
      <c r="C46" t="s">
        <v>41</v>
      </c>
      <c r="D46" t="s">
        <v>330</v>
      </c>
      <c r="E46" t="s">
        <v>331</v>
      </c>
      <c r="F46" t="s">
        <v>44</v>
      </c>
      <c r="G46" t="s">
        <v>45</v>
      </c>
      <c r="H46" s="2">
        <v>2310.17</v>
      </c>
      <c r="I46" t="s">
        <v>332</v>
      </c>
      <c r="J46" t="s">
        <v>64</v>
      </c>
      <c r="K46" t="s">
        <v>333</v>
      </c>
      <c r="L46" t="s">
        <v>49</v>
      </c>
      <c r="M46" t="s">
        <v>50</v>
      </c>
      <c r="N46" t="s">
        <v>51</v>
      </c>
      <c r="O46" t="s">
        <v>196</v>
      </c>
      <c r="P46" s="2">
        <v>0</v>
      </c>
      <c r="Q46" s="2">
        <v>2310.17</v>
      </c>
      <c r="R46" s="3">
        <v>2</v>
      </c>
      <c r="S46" s="2">
        <v>46.2</v>
      </c>
      <c r="T46" t="s">
        <v>53</v>
      </c>
      <c r="U46" t="s">
        <v>334</v>
      </c>
      <c r="V46" t="s">
        <v>335</v>
      </c>
      <c r="W46" t="s">
        <v>56</v>
      </c>
      <c r="X46" s="2">
        <v>0</v>
      </c>
      <c r="Y46" s="3">
        <v>0</v>
      </c>
      <c r="Z46" s="2">
        <v>0</v>
      </c>
      <c r="AA46" s="3">
        <v>0</v>
      </c>
      <c r="AB46" s="2">
        <v>0</v>
      </c>
      <c r="AC46" t="s">
        <v>56</v>
      </c>
      <c r="AD46" s="2">
        <v>34.65</v>
      </c>
      <c r="AE46" s="2">
        <v>107.42</v>
      </c>
      <c r="AF46" s="2">
        <v>0</v>
      </c>
      <c r="AG46" t="s">
        <v>57</v>
      </c>
      <c r="AH46" t="s">
        <v>58</v>
      </c>
      <c r="AI46" t="s">
        <v>58</v>
      </c>
      <c r="AJ46" t="s">
        <v>57</v>
      </c>
      <c r="AK46" t="s">
        <v>57</v>
      </c>
      <c r="AL46" t="s">
        <v>57</v>
      </c>
      <c r="AM46" t="s">
        <v>57</v>
      </c>
      <c r="AN46" t="s">
        <v>59</v>
      </c>
      <c r="AO46" t="s">
        <v>336</v>
      </c>
    </row>
    <row r="47" spans="1:41" ht="15.75" x14ac:dyDescent="0.25">
      <c r="A47">
        <v>2600000000146</v>
      </c>
      <c r="B47" s="1">
        <v>46204</v>
      </c>
      <c r="C47" t="s">
        <v>41</v>
      </c>
      <c r="D47" t="s">
        <v>337</v>
      </c>
      <c r="E47" t="s">
        <v>338</v>
      </c>
      <c r="F47" t="s">
        <v>44</v>
      </c>
      <c r="G47" t="s">
        <v>45</v>
      </c>
      <c r="H47" s="2">
        <v>200</v>
      </c>
      <c r="I47" t="s">
        <v>339</v>
      </c>
      <c r="J47" t="s">
        <v>64</v>
      </c>
      <c r="K47" t="s">
        <v>340</v>
      </c>
      <c r="L47" t="s">
        <v>131</v>
      </c>
      <c r="M47" t="s">
        <v>50</v>
      </c>
      <c r="N47" t="s">
        <v>51</v>
      </c>
      <c r="O47" t="s">
        <v>341</v>
      </c>
      <c r="P47" s="2">
        <v>0</v>
      </c>
      <c r="Q47" s="2">
        <v>200</v>
      </c>
      <c r="R47" s="3">
        <v>3</v>
      </c>
      <c r="S47" s="2">
        <v>6</v>
      </c>
      <c r="T47" t="s">
        <v>53</v>
      </c>
      <c r="U47" t="s">
        <v>342</v>
      </c>
      <c r="V47" t="s">
        <v>343</v>
      </c>
      <c r="W47" t="s">
        <v>56</v>
      </c>
      <c r="X47" s="2">
        <v>0</v>
      </c>
      <c r="Y47" s="3">
        <v>0</v>
      </c>
      <c r="Z47" s="2">
        <v>1.3</v>
      </c>
      <c r="AA47" s="3">
        <v>0</v>
      </c>
      <c r="AB47" s="2">
        <v>6</v>
      </c>
      <c r="AC47" t="s">
        <v>56</v>
      </c>
      <c r="AD47" s="2">
        <v>3</v>
      </c>
      <c r="AE47" s="2">
        <v>2</v>
      </c>
      <c r="AF47" s="2">
        <v>0</v>
      </c>
      <c r="AG47" t="s">
        <v>57</v>
      </c>
      <c r="AH47" t="s">
        <v>344</v>
      </c>
      <c r="AI47" t="s">
        <v>58</v>
      </c>
      <c r="AJ47" t="s">
        <v>57</v>
      </c>
      <c r="AK47" t="s">
        <v>57</v>
      </c>
      <c r="AL47" t="s">
        <v>57</v>
      </c>
      <c r="AM47" t="s">
        <v>57</v>
      </c>
      <c r="AN47" t="s">
        <v>59</v>
      </c>
      <c r="AO47" t="s">
        <v>345</v>
      </c>
    </row>
    <row r="48" spans="1:41" ht="15.75" x14ac:dyDescent="0.25">
      <c r="A48">
        <v>204</v>
      </c>
      <c r="B48" s="1">
        <v>46204</v>
      </c>
      <c r="C48" t="s">
        <v>41</v>
      </c>
      <c r="D48" t="s">
        <v>346</v>
      </c>
      <c r="E48" t="s">
        <v>347</v>
      </c>
      <c r="F48" t="s">
        <v>44</v>
      </c>
      <c r="G48" t="s">
        <v>45</v>
      </c>
      <c r="H48" s="2">
        <v>4092</v>
      </c>
      <c r="I48" t="s">
        <v>348</v>
      </c>
      <c r="J48" t="s">
        <v>47</v>
      </c>
      <c r="K48" t="s">
        <v>349</v>
      </c>
      <c r="L48" t="s">
        <v>49</v>
      </c>
      <c r="M48" t="s">
        <v>50</v>
      </c>
      <c r="N48" t="s">
        <v>122</v>
      </c>
      <c r="O48" t="s">
        <v>123</v>
      </c>
      <c r="P48" s="2">
        <v>0</v>
      </c>
      <c r="Q48" s="2">
        <v>0</v>
      </c>
      <c r="R48" s="3">
        <v>0</v>
      </c>
      <c r="S48" s="2">
        <v>0</v>
      </c>
      <c r="T48" t="s">
        <v>53</v>
      </c>
      <c r="U48" t="s">
        <v>350</v>
      </c>
      <c r="V48" t="s">
        <v>351</v>
      </c>
      <c r="W48" t="s">
        <v>56</v>
      </c>
      <c r="X48" s="2">
        <v>0</v>
      </c>
      <c r="Y48" s="3">
        <v>0</v>
      </c>
      <c r="Z48" s="2">
        <v>0</v>
      </c>
      <c r="AA48" s="3">
        <v>0</v>
      </c>
      <c r="AB48" s="2">
        <v>0</v>
      </c>
      <c r="AC48" t="s">
        <v>56</v>
      </c>
      <c r="AD48" s="2">
        <v>0</v>
      </c>
      <c r="AE48" s="2">
        <v>0</v>
      </c>
      <c r="AF48" s="2">
        <v>0</v>
      </c>
      <c r="AG48" t="s">
        <v>57</v>
      </c>
      <c r="AH48" t="s">
        <v>58</v>
      </c>
      <c r="AI48" t="s">
        <v>58</v>
      </c>
      <c r="AJ48" t="s">
        <v>57</v>
      </c>
      <c r="AK48" t="s">
        <v>57</v>
      </c>
      <c r="AL48" t="s">
        <v>57</v>
      </c>
      <c r="AM48" t="s">
        <v>57</v>
      </c>
      <c r="AN48" t="s">
        <v>59</v>
      </c>
      <c r="AO48" t="s">
        <v>352</v>
      </c>
    </row>
    <row r="49" spans="1:41" ht="15.75" x14ac:dyDescent="0.25">
      <c r="A49">
        <v>19944</v>
      </c>
      <c r="B49" s="1">
        <v>46204</v>
      </c>
      <c r="C49" t="s">
        <v>41</v>
      </c>
      <c r="D49" t="s">
        <v>353</v>
      </c>
      <c r="E49" t="s">
        <v>354</v>
      </c>
      <c r="F49" t="s">
        <v>44</v>
      </c>
      <c r="G49" t="s">
        <v>45</v>
      </c>
      <c r="H49" s="2">
        <v>2400</v>
      </c>
      <c r="I49" t="s">
        <v>355</v>
      </c>
      <c r="J49" t="s">
        <v>47</v>
      </c>
      <c r="K49" t="s">
        <v>356</v>
      </c>
      <c r="L49" t="s">
        <v>49</v>
      </c>
      <c r="M49" t="s">
        <v>50</v>
      </c>
      <c r="N49" t="s">
        <v>122</v>
      </c>
      <c r="O49" t="s">
        <v>123</v>
      </c>
      <c r="P49" s="2">
        <v>0</v>
      </c>
      <c r="Q49" s="2">
        <v>0</v>
      </c>
      <c r="R49" s="3">
        <v>0</v>
      </c>
      <c r="S49" s="2">
        <v>0</v>
      </c>
      <c r="T49" t="s">
        <v>53</v>
      </c>
      <c r="U49" t="s">
        <v>350</v>
      </c>
      <c r="V49" t="s">
        <v>357</v>
      </c>
      <c r="W49" t="s">
        <v>56</v>
      </c>
      <c r="X49" s="2">
        <v>0</v>
      </c>
      <c r="Y49" s="3">
        <v>0</v>
      </c>
      <c r="Z49" s="2">
        <v>0</v>
      </c>
      <c r="AA49" s="3">
        <v>0</v>
      </c>
      <c r="AB49" s="2">
        <v>0</v>
      </c>
      <c r="AC49" t="s">
        <v>56</v>
      </c>
      <c r="AD49" s="2">
        <v>0</v>
      </c>
      <c r="AE49" s="2">
        <v>0</v>
      </c>
      <c r="AF49" s="2">
        <v>0</v>
      </c>
      <c r="AG49" t="s">
        <v>57</v>
      </c>
      <c r="AH49" t="s">
        <v>58</v>
      </c>
      <c r="AI49" t="s">
        <v>58</v>
      </c>
      <c r="AJ49" t="s">
        <v>57</v>
      </c>
      <c r="AK49" t="s">
        <v>57</v>
      </c>
      <c r="AL49" t="s">
        <v>57</v>
      </c>
      <c r="AM49" t="s">
        <v>57</v>
      </c>
      <c r="AN49" t="s">
        <v>59</v>
      </c>
      <c r="AO49" t="s">
        <v>358</v>
      </c>
    </row>
    <row r="50" spans="1:41" ht="15.75" x14ac:dyDescent="0.25">
      <c r="A50">
        <v>2196</v>
      </c>
      <c r="B50" s="1">
        <v>46204</v>
      </c>
      <c r="C50" t="s">
        <v>41</v>
      </c>
      <c r="D50" t="s">
        <v>359</v>
      </c>
      <c r="E50" t="s">
        <v>360</v>
      </c>
      <c r="F50" t="s">
        <v>44</v>
      </c>
      <c r="G50" t="s">
        <v>45</v>
      </c>
      <c r="H50" s="2">
        <v>472.5</v>
      </c>
      <c r="I50" t="s">
        <v>361</v>
      </c>
      <c r="J50" t="s">
        <v>47</v>
      </c>
      <c r="K50" t="s">
        <v>362</v>
      </c>
      <c r="L50" t="s">
        <v>363</v>
      </c>
      <c r="M50" t="s">
        <v>50</v>
      </c>
      <c r="N50" t="s">
        <v>51</v>
      </c>
      <c r="O50" t="s">
        <v>254</v>
      </c>
      <c r="P50" s="2">
        <v>0</v>
      </c>
      <c r="Q50" s="2">
        <v>0</v>
      </c>
      <c r="R50" s="3">
        <v>0</v>
      </c>
      <c r="S50" s="2">
        <v>0</v>
      </c>
      <c r="T50" t="s">
        <v>53</v>
      </c>
      <c r="U50" t="s">
        <v>342</v>
      </c>
      <c r="V50" t="s">
        <v>364</v>
      </c>
      <c r="W50" t="s">
        <v>56</v>
      </c>
      <c r="X50" s="2">
        <v>0</v>
      </c>
      <c r="Y50" s="3">
        <v>0</v>
      </c>
      <c r="Z50" s="2">
        <v>0</v>
      </c>
      <c r="AA50" s="3">
        <v>0</v>
      </c>
      <c r="AB50" s="2">
        <v>0</v>
      </c>
      <c r="AC50" t="s">
        <v>56</v>
      </c>
      <c r="AD50" s="2">
        <v>0</v>
      </c>
      <c r="AE50" s="2">
        <v>0</v>
      </c>
      <c r="AF50" s="2">
        <v>0</v>
      </c>
      <c r="AG50" t="s">
        <v>57</v>
      </c>
      <c r="AH50" t="s">
        <v>58</v>
      </c>
      <c r="AI50" t="s">
        <v>365</v>
      </c>
      <c r="AJ50" t="s">
        <v>57</v>
      </c>
      <c r="AK50" t="s">
        <v>57</v>
      </c>
      <c r="AL50" t="s">
        <v>57</v>
      </c>
      <c r="AM50" t="s">
        <v>57</v>
      </c>
      <c r="AN50" t="s">
        <v>59</v>
      </c>
      <c r="AO50" t="s">
        <v>366</v>
      </c>
    </row>
    <row r="51" spans="1:41" ht="15.75" x14ac:dyDescent="0.25">
      <c r="A51">
        <v>98</v>
      </c>
      <c r="B51" s="1">
        <v>46204</v>
      </c>
      <c r="C51" t="s">
        <v>41</v>
      </c>
      <c r="D51" t="s">
        <v>367</v>
      </c>
      <c r="E51" t="s">
        <v>368</v>
      </c>
      <c r="F51" t="s">
        <v>44</v>
      </c>
      <c r="G51" t="s">
        <v>45</v>
      </c>
      <c r="H51" s="2">
        <v>4929.6000000000004</v>
      </c>
      <c r="I51" t="s">
        <v>369</v>
      </c>
      <c r="J51" t="s">
        <v>47</v>
      </c>
      <c r="K51" t="s">
        <v>370</v>
      </c>
      <c r="L51" t="s">
        <v>49</v>
      </c>
      <c r="M51" t="s">
        <v>50</v>
      </c>
      <c r="N51" t="s">
        <v>51</v>
      </c>
      <c r="O51" t="s">
        <v>52</v>
      </c>
      <c r="P51" s="2">
        <v>0</v>
      </c>
      <c r="Q51" s="2">
        <v>4929.6000000000004</v>
      </c>
      <c r="R51" s="3">
        <v>4.3499999999999996</v>
      </c>
      <c r="S51" s="2">
        <v>214.44</v>
      </c>
      <c r="T51" t="s">
        <v>53</v>
      </c>
      <c r="U51" t="s">
        <v>371</v>
      </c>
      <c r="V51" t="s">
        <v>372</v>
      </c>
      <c r="W51" t="s">
        <v>56</v>
      </c>
      <c r="X51" s="2">
        <v>0</v>
      </c>
      <c r="Y51" s="3">
        <v>0</v>
      </c>
      <c r="Z51" s="2">
        <v>0</v>
      </c>
      <c r="AA51" s="3">
        <v>0</v>
      </c>
      <c r="AB51" s="2">
        <v>0</v>
      </c>
      <c r="AC51" t="s">
        <v>56</v>
      </c>
      <c r="AD51" s="2">
        <v>0</v>
      </c>
      <c r="AE51" s="2">
        <v>0</v>
      </c>
      <c r="AF51" s="2">
        <v>0</v>
      </c>
      <c r="AG51" t="s">
        <v>57</v>
      </c>
      <c r="AH51" t="s">
        <v>58</v>
      </c>
      <c r="AI51" t="s">
        <v>58</v>
      </c>
      <c r="AJ51" t="s">
        <v>57</v>
      </c>
      <c r="AK51" t="s">
        <v>57</v>
      </c>
      <c r="AL51" t="s">
        <v>57</v>
      </c>
      <c r="AM51" t="s">
        <v>57</v>
      </c>
      <c r="AN51" t="s">
        <v>59</v>
      </c>
      <c r="AO51" t="s">
        <v>373</v>
      </c>
    </row>
    <row r="52" spans="1:41" ht="15.75" x14ac:dyDescent="0.25">
      <c r="A52">
        <v>23891</v>
      </c>
      <c r="B52" s="1">
        <v>46204</v>
      </c>
      <c r="C52" t="s">
        <v>41</v>
      </c>
      <c r="D52" t="s">
        <v>374</v>
      </c>
      <c r="E52" t="s">
        <v>375</v>
      </c>
      <c r="F52" t="s">
        <v>44</v>
      </c>
      <c r="G52" t="s">
        <v>45</v>
      </c>
      <c r="H52" s="2">
        <v>2.83</v>
      </c>
      <c r="I52" t="s">
        <v>376</v>
      </c>
      <c r="J52" t="s">
        <v>47</v>
      </c>
      <c r="K52" t="s">
        <v>377</v>
      </c>
      <c r="L52" t="s">
        <v>49</v>
      </c>
      <c r="M52" t="s">
        <v>50</v>
      </c>
      <c r="N52" t="s">
        <v>51</v>
      </c>
      <c r="O52" t="s">
        <v>52</v>
      </c>
      <c r="P52" s="2">
        <v>0</v>
      </c>
      <c r="Q52" s="2">
        <v>2.83</v>
      </c>
      <c r="R52" s="3">
        <v>4.9000000000000004</v>
      </c>
      <c r="S52" s="2">
        <v>0.14000000000000001</v>
      </c>
      <c r="T52" t="s">
        <v>53</v>
      </c>
      <c r="U52" t="s">
        <v>378</v>
      </c>
      <c r="V52" t="s">
        <v>379</v>
      </c>
      <c r="W52" t="s">
        <v>56</v>
      </c>
      <c r="X52" s="2">
        <v>0</v>
      </c>
      <c r="Y52" s="3">
        <v>0</v>
      </c>
      <c r="Z52" s="2">
        <v>0</v>
      </c>
      <c r="AA52" s="3">
        <v>0</v>
      </c>
      <c r="AB52" s="2">
        <v>0</v>
      </c>
      <c r="AC52" t="s">
        <v>56</v>
      </c>
      <c r="AD52" s="2">
        <v>0</v>
      </c>
      <c r="AE52" s="2">
        <v>0</v>
      </c>
      <c r="AF52" s="2">
        <v>0</v>
      </c>
      <c r="AG52" t="s">
        <v>57</v>
      </c>
      <c r="AH52" t="s">
        <v>58</v>
      </c>
      <c r="AI52" t="s">
        <v>58</v>
      </c>
      <c r="AJ52" t="s">
        <v>57</v>
      </c>
      <c r="AK52" t="s">
        <v>57</v>
      </c>
      <c r="AL52" t="s">
        <v>57</v>
      </c>
      <c r="AM52" t="s">
        <v>57</v>
      </c>
      <c r="AN52" t="s">
        <v>59</v>
      </c>
      <c r="AO52" t="s">
        <v>380</v>
      </c>
    </row>
    <row r="53" spans="1:41" ht="15.75" x14ac:dyDescent="0.25">
      <c r="A53">
        <v>12</v>
      </c>
      <c r="B53" s="1">
        <v>46204</v>
      </c>
      <c r="C53" t="s">
        <v>41</v>
      </c>
      <c r="D53" t="s">
        <v>243</v>
      </c>
      <c r="E53" t="s">
        <v>244</v>
      </c>
      <c r="F53" t="s">
        <v>44</v>
      </c>
      <c r="G53" t="s">
        <v>45</v>
      </c>
      <c r="H53" s="2">
        <v>1420</v>
      </c>
      <c r="I53" t="s">
        <v>245</v>
      </c>
      <c r="J53" t="s">
        <v>47</v>
      </c>
      <c r="K53" t="s">
        <v>381</v>
      </c>
      <c r="L53" t="s">
        <v>49</v>
      </c>
      <c r="M53" t="s">
        <v>50</v>
      </c>
      <c r="N53" t="s">
        <v>51</v>
      </c>
      <c r="O53" t="s">
        <v>52</v>
      </c>
      <c r="P53" s="2">
        <v>0</v>
      </c>
      <c r="Q53" s="2">
        <v>1420</v>
      </c>
      <c r="R53" s="3">
        <v>5</v>
      </c>
      <c r="S53" s="2">
        <v>71</v>
      </c>
      <c r="T53" t="s">
        <v>53</v>
      </c>
      <c r="U53" t="s">
        <v>247</v>
      </c>
      <c r="V53" t="s">
        <v>382</v>
      </c>
      <c r="W53" t="s">
        <v>56</v>
      </c>
      <c r="X53" s="2">
        <v>0</v>
      </c>
      <c r="Y53" s="3">
        <v>0</v>
      </c>
      <c r="Z53" s="2">
        <v>0</v>
      </c>
      <c r="AA53" s="3">
        <v>0</v>
      </c>
      <c r="AB53" s="2">
        <v>0</v>
      </c>
      <c r="AC53" t="s">
        <v>56</v>
      </c>
      <c r="AD53" s="2">
        <v>0</v>
      </c>
      <c r="AE53" s="2">
        <v>0</v>
      </c>
      <c r="AF53" s="2">
        <v>0</v>
      </c>
      <c r="AG53" t="s">
        <v>57</v>
      </c>
      <c r="AH53" t="s">
        <v>58</v>
      </c>
      <c r="AI53" t="s">
        <v>58</v>
      </c>
      <c r="AJ53" t="s">
        <v>181</v>
      </c>
      <c r="AK53" t="s">
        <v>383</v>
      </c>
      <c r="AL53" t="s">
        <v>384</v>
      </c>
      <c r="AM53" t="s">
        <v>384</v>
      </c>
      <c r="AN53" t="s">
        <v>184</v>
      </c>
      <c r="AO53" t="s">
        <v>385</v>
      </c>
    </row>
    <row r="54" spans="1:41" ht="15.75" x14ac:dyDescent="0.25">
      <c r="A54">
        <v>33970</v>
      </c>
      <c r="B54" s="1">
        <v>46204</v>
      </c>
      <c r="C54" t="s">
        <v>41</v>
      </c>
      <c r="D54" t="s">
        <v>386</v>
      </c>
      <c r="E54" t="s">
        <v>387</v>
      </c>
      <c r="F54" t="s">
        <v>44</v>
      </c>
      <c r="G54" t="s">
        <v>45</v>
      </c>
      <c r="H54" s="2">
        <v>500</v>
      </c>
      <c r="I54" t="s">
        <v>58</v>
      </c>
      <c r="J54" t="s">
        <v>64</v>
      </c>
      <c r="K54" t="s">
        <v>388</v>
      </c>
      <c r="L54" t="s">
        <v>389</v>
      </c>
      <c r="M54" t="s">
        <v>50</v>
      </c>
      <c r="N54" t="s">
        <v>51</v>
      </c>
      <c r="O54" t="s">
        <v>390</v>
      </c>
      <c r="P54" s="2">
        <v>0</v>
      </c>
      <c r="Q54" s="2">
        <v>500</v>
      </c>
      <c r="R54" s="3">
        <v>2</v>
      </c>
      <c r="S54" s="2">
        <v>10</v>
      </c>
      <c r="T54" t="s">
        <v>53</v>
      </c>
      <c r="U54" t="s">
        <v>232</v>
      </c>
      <c r="V54" t="s">
        <v>391</v>
      </c>
      <c r="W54" t="s">
        <v>56</v>
      </c>
      <c r="X54" s="2">
        <v>0</v>
      </c>
      <c r="Y54" s="3">
        <v>0</v>
      </c>
      <c r="Z54" s="2">
        <v>0</v>
      </c>
      <c r="AA54" s="3">
        <v>0</v>
      </c>
      <c r="AB54" s="2">
        <v>0</v>
      </c>
      <c r="AC54" t="s">
        <v>392</v>
      </c>
      <c r="AD54" s="2">
        <v>0</v>
      </c>
      <c r="AE54" s="2">
        <v>0</v>
      </c>
      <c r="AF54" s="2">
        <v>0</v>
      </c>
      <c r="AG54" t="s">
        <v>57</v>
      </c>
      <c r="AH54" t="s">
        <v>58</v>
      </c>
      <c r="AI54" t="s">
        <v>393</v>
      </c>
      <c r="AJ54" t="s">
        <v>57</v>
      </c>
      <c r="AK54" t="s">
        <v>57</v>
      </c>
      <c r="AL54" t="s">
        <v>57</v>
      </c>
      <c r="AM54" t="s">
        <v>57</v>
      </c>
      <c r="AN54" t="s">
        <v>59</v>
      </c>
      <c r="AO54" t="s">
        <v>394</v>
      </c>
    </row>
    <row r="55" spans="1:41" ht="15.75" x14ac:dyDescent="0.25">
      <c r="A55">
        <v>6867</v>
      </c>
      <c r="B55" s="1">
        <v>46204</v>
      </c>
      <c r="C55" t="s">
        <v>41</v>
      </c>
      <c r="D55" t="s">
        <v>395</v>
      </c>
      <c r="E55" t="s">
        <v>396</v>
      </c>
      <c r="F55" t="s">
        <v>44</v>
      </c>
      <c r="G55" t="s">
        <v>45</v>
      </c>
      <c r="H55" s="2">
        <v>562.76</v>
      </c>
      <c r="I55" t="s">
        <v>58</v>
      </c>
      <c r="J55" t="s">
        <v>64</v>
      </c>
      <c r="K55" t="s">
        <v>397</v>
      </c>
      <c r="L55" t="s">
        <v>49</v>
      </c>
      <c r="M55" t="s">
        <v>50</v>
      </c>
      <c r="N55" t="s">
        <v>51</v>
      </c>
      <c r="O55" t="s">
        <v>312</v>
      </c>
      <c r="P55" s="2">
        <v>0</v>
      </c>
      <c r="Q55" s="2">
        <v>562.76</v>
      </c>
      <c r="R55" s="3">
        <v>2</v>
      </c>
      <c r="S55" s="2">
        <v>11.26</v>
      </c>
      <c r="T55" t="s">
        <v>53</v>
      </c>
      <c r="U55" t="s">
        <v>398</v>
      </c>
      <c r="V55" t="s">
        <v>399</v>
      </c>
      <c r="W55" t="s">
        <v>315</v>
      </c>
      <c r="X55" s="2">
        <v>562.76</v>
      </c>
      <c r="Y55" s="3">
        <v>0.65</v>
      </c>
      <c r="Z55" s="2">
        <v>3.66</v>
      </c>
      <c r="AA55" s="3">
        <v>3</v>
      </c>
      <c r="AB55" s="2">
        <v>16.88</v>
      </c>
      <c r="AC55" t="s">
        <v>316</v>
      </c>
      <c r="AD55" s="2">
        <v>0</v>
      </c>
      <c r="AE55" s="2">
        <v>26.17</v>
      </c>
      <c r="AF55" s="2">
        <v>0</v>
      </c>
      <c r="AG55" t="s">
        <v>57</v>
      </c>
      <c r="AH55" t="s">
        <v>58</v>
      </c>
      <c r="AI55" t="s">
        <v>58</v>
      </c>
      <c r="AJ55" t="s">
        <v>57</v>
      </c>
      <c r="AK55" t="s">
        <v>57</v>
      </c>
      <c r="AL55" t="s">
        <v>57</v>
      </c>
      <c r="AM55" t="s">
        <v>57</v>
      </c>
      <c r="AN55" t="s">
        <v>59</v>
      </c>
      <c r="AO55" t="s">
        <v>400</v>
      </c>
    </row>
    <row r="56" spans="1:41" ht="15.75" x14ac:dyDescent="0.25">
      <c r="A56">
        <v>2320</v>
      </c>
      <c r="B56" s="1">
        <v>46204</v>
      </c>
      <c r="C56" t="s">
        <v>41</v>
      </c>
      <c r="D56" t="s">
        <v>79</v>
      </c>
      <c r="E56" t="s">
        <v>80</v>
      </c>
      <c r="F56" t="s">
        <v>44</v>
      </c>
      <c r="G56" t="s">
        <v>45</v>
      </c>
      <c r="H56" s="2">
        <v>620</v>
      </c>
      <c r="I56" t="s">
        <v>81</v>
      </c>
      <c r="J56" t="s">
        <v>47</v>
      </c>
      <c r="K56" t="s">
        <v>401</v>
      </c>
      <c r="L56" t="s">
        <v>49</v>
      </c>
      <c r="M56" t="s">
        <v>50</v>
      </c>
      <c r="N56" t="s">
        <v>51</v>
      </c>
      <c r="O56" t="s">
        <v>52</v>
      </c>
      <c r="P56" s="2">
        <v>0</v>
      </c>
      <c r="Q56" s="2">
        <v>620</v>
      </c>
      <c r="R56" s="3">
        <v>2.74</v>
      </c>
      <c r="S56" s="2">
        <v>16.989999999999998</v>
      </c>
      <c r="T56" t="s">
        <v>53</v>
      </c>
      <c r="U56" t="s">
        <v>83</v>
      </c>
      <c r="V56" t="s">
        <v>402</v>
      </c>
      <c r="W56" t="s">
        <v>56</v>
      </c>
      <c r="X56" s="2">
        <v>0</v>
      </c>
      <c r="Y56" s="3">
        <v>0</v>
      </c>
      <c r="Z56" s="2">
        <v>0</v>
      </c>
      <c r="AA56" s="3">
        <v>0</v>
      </c>
      <c r="AB56" s="2">
        <v>0</v>
      </c>
      <c r="AC56" t="s">
        <v>56</v>
      </c>
      <c r="AD56" s="2">
        <v>0</v>
      </c>
      <c r="AE56" s="2">
        <v>0</v>
      </c>
      <c r="AF56" s="2">
        <v>0</v>
      </c>
      <c r="AG56" t="s">
        <v>57</v>
      </c>
      <c r="AH56" t="s">
        <v>58</v>
      </c>
      <c r="AI56" t="s">
        <v>58</v>
      </c>
      <c r="AJ56" t="s">
        <v>57</v>
      </c>
      <c r="AK56" t="s">
        <v>57</v>
      </c>
      <c r="AL56" t="s">
        <v>57</v>
      </c>
      <c r="AM56" t="s">
        <v>57</v>
      </c>
      <c r="AN56" t="s">
        <v>59</v>
      </c>
      <c r="AO56" t="s">
        <v>403</v>
      </c>
    </row>
    <row r="57" spans="1:41" ht="15.75" x14ac:dyDescent="0.25">
      <c r="A57">
        <v>608742</v>
      </c>
      <c r="B57" s="1">
        <v>46204</v>
      </c>
      <c r="C57" t="s">
        <v>41</v>
      </c>
      <c r="D57" t="s">
        <v>86</v>
      </c>
      <c r="E57" t="s">
        <v>87</v>
      </c>
      <c r="F57" t="s">
        <v>44</v>
      </c>
      <c r="G57" t="s">
        <v>45</v>
      </c>
      <c r="H57" s="2">
        <v>21840.97</v>
      </c>
      <c r="I57" t="s">
        <v>88</v>
      </c>
      <c r="J57" t="s">
        <v>64</v>
      </c>
      <c r="K57" t="s">
        <v>404</v>
      </c>
      <c r="L57" t="s">
        <v>49</v>
      </c>
      <c r="M57" t="s">
        <v>50</v>
      </c>
      <c r="N57" t="s">
        <v>51</v>
      </c>
      <c r="O57" t="s">
        <v>52</v>
      </c>
      <c r="P57" s="2">
        <v>0</v>
      </c>
      <c r="Q57" s="2">
        <v>32.17</v>
      </c>
      <c r="R57" s="3">
        <v>5</v>
      </c>
      <c r="S57" s="2">
        <v>1.61</v>
      </c>
      <c r="T57" t="s">
        <v>53</v>
      </c>
      <c r="U57" t="s">
        <v>90</v>
      </c>
      <c r="V57" t="s">
        <v>405</v>
      </c>
      <c r="W57" t="s">
        <v>56</v>
      </c>
      <c r="X57" s="2">
        <v>0</v>
      </c>
      <c r="Y57" s="3">
        <v>0</v>
      </c>
      <c r="Z57" s="2">
        <v>0</v>
      </c>
      <c r="AA57" s="3">
        <v>0</v>
      </c>
      <c r="AB57" s="2">
        <v>0</v>
      </c>
      <c r="AC57" t="s">
        <v>56</v>
      </c>
      <c r="AD57" s="2">
        <v>0</v>
      </c>
      <c r="AE57" s="2">
        <v>0</v>
      </c>
      <c r="AF57" s="2">
        <v>0</v>
      </c>
      <c r="AG57" t="s">
        <v>57</v>
      </c>
      <c r="AH57" t="s">
        <v>58</v>
      </c>
      <c r="AI57" t="s">
        <v>58</v>
      </c>
      <c r="AJ57" t="s">
        <v>57</v>
      </c>
      <c r="AK57" t="s">
        <v>57</v>
      </c>
      <c r="AL57" t="s">
        <v>57</v>
      </c>
      <c r="AM57" t="s">
        <v>57</v>
      </c>
      <c r="AN57" t="s">
        <v>59</v>
      </c>
      <c r="AO57" t="s">
        <v>406</v>
      </c>
    </row>
    <row r="58" spans="1:41" ht="15.75" x14ac:dyDescent="0.25">
      <c r="A58">
        <v>7227</v>
      </c>
      <c r="B58" s="1">
        <v>46204</v>
      </c>
      <c r="C58" t="s">
        <v>41</v>
      </c>
      <c r="D58" t="s">
        <v>407</v>
      </c>
      <c r="E58" t="s">
        <v>408</v>
      </c>
      <c r="F58" t="s">
        <v>44</v>
      </c>
      <c r="G58" t="s">
        <v>45</v>
      </c>
      <c r="H58" s="2">
        <v>128.84</v>
      </c>
      <c r="I58" t="s">
        <v>409</v>
      </c>
      <c r="J58" t="s">
        <v>64</v>
      </c>
      <c r="K58" t="s">
        <v>410</v>
      </c>
      <c r="L58" t="s">
        <v>49</v>
      </c>
      <c r="M58" t="s">
        <v>50</v>
      </c>
      <c r="N58" t="s">
        <v>51</v>
      </c>
      <c r="O58" t="s">
        <v>52</v>
      </c>
      <c r="P58" s="2">
        <v>0</v>
      </c>
      <c r="Q58" s="2">
        <v>128.84</v>
      </c>
      <c r="R58" s="3">
        <v>2</v>
      </c>
      <c r="S58" s="2">
        <v>2.58</v>
      </c>
      <c r="T58" t="s">
        <v>53</v>
      </c>
      <c r="U58" t="s">
        <v>411</v>
      </c>
      <c r="V58" t="s">
        <v>412</v>
      </c>
      <c r="W58" t="s">
        <v>56</v>
      </c>
      <c r="X58" s="2">
        <v>0</v>
      </c>
      <c r="Y58" s="3">
        <v>0</v>
      </c>
      <c r="Z58" s="2">
        <v>0</v>
      </c>
      <c r="AA58" s="3">
        <v>0</v>
      </c>
      <c r="AB58" s="2">
        <v>0</v>
      </c>
      <c r="AC58" t="s">
        <v>56</v>
      </c>
      <c r="AD58" s="2">
        <v>0</v>
      </c>
      <c r="AE58" s="2">
        <v>0</v>
      </c>
      <c r="AF58" s="2">
        <v>0</v>
      </c>
      <c r="AG58" t="s">
        <v>57</v>
      </c>
      <c r="AH58" t="s">
        <v>58</v>
      </c>
      <c r="AI58" t="s">
        <v>58</v>
      </c>
      <c r="AJ58" t="s">
        <v>57</v>
      </c>
      <c r="AK58" t="s">
        <v>57</v>
      </c>
      <c r="AL58" t="s">
        <v>57</v>
      </c>
      <c r="AM58" t="s">
        <v>57</v>
      </c>
      <c r="AN58" t="s">
        <v>59</v>
      </c>
      <c r="AO58" t="s">
        <v>413</v>
      </c>
    </row>
    <row r="59" spans="1:41" ht="15.75" x14ac:dyDescent="0.25">
      <c r="A59" t="s">
        <v>57</v>
      </c>
      <c r="B59" t="s">
        <v>57</v>
      </c>
      <c r="C59" t="s">
        <v>57</v>
      </c>
      <c r="D59" t="s">
        <v>57</v>
      </c>
      <c r="E59" t="s">
        <v>57</v>
      </c>
      <c r="F59" t="s">
        <v>57</v>
      </c>
      <c r="G59" t="s">
        <v>414</v>
      </c>
      <c r="H59" s="2">
        <f>SUBTOTAL(9,H2:H58)</f>
        <v>261477.19</v>
      </c>
      <c r="I59" t="s">
        <v>57</v>
      </c>
      <c r="J59" t="s">
        <v>57</v>
      </c>
      <c r="K59" t="s">
        <v>57</v>
      </c>
      <c r="L59" t="s">
        <v>57</v>
      </c>
      <c r="M59" t="s">
        <v>57</v>
      </c>
      <c r="N59" t="s">
        <v>57</v>
      </c>
      <c r="O59" t="s">
        <v>57</v>
      </c>
      <c r="P59" s="2">
        <f>SUBTOTAL(9,P2:P58)</f>
        <v>0</v>
      </c>
      <c r="Q59" s="2">
        <f>SUBTOTAL(9,Q2:Q58)</f>
        <v>213341.59000000003</v>
      </c>
      <c r="R59" t="s">
        <v>57</v>
      </c>
      <c r="S59" s="2">
        <f>SUBTOTAL(9,S2:S58)</f>
        <v>9808.989999999998</v>
      </c>
      <c r="T59" t="s">
        <v>57</v>
      </c>
      <c r="U59" t="s">
        <v>57</v>
      </c>
      <c r="V59" t="s">
        <v>57</v>
      </c>
      <c r="W59" t="s">
        <v>57</v>
      </c>
      <c r="X59" s="2">
        <f>SUBTOTAL(9,X2:X58)</f>
        <v>6290.7800000000007</v>
      </c>
      <c r="Y59" t="s">
        <v>57</v>
      </c>
      <c r="Z59" s="2">
        <f>SUBTOTAL(9,Z2:Z58)</f>
        <v>600.42999999999995</v>
      </c>
      <c r="AA59" t="s">
        <v>57</v>
      </c>
      <c r="AB59" s="2">
        <f>SUBTOTAL(9,AB2:AB58)</f>
        <v>2771.1800000000007</v>
      </c>
      <c r="AC59" t="s">
        <v>57</v>
      </c>
      <c r="AD59" s="2">
        <f>SUBTOTAL(9,AD2:AD58)</f>
        <v>1342.22</v>
      </c>
      <c r="AE59" s="2">
        <f>SUBTOTAL(9,AE2:AE58)</f>
        <v>3180.57</v>
      </c>
      <c r="AF59" s="2">
        <f>SUBTOTAL(9,AF2:AF58)</f>
        <v>2187.4500000000003</v>
      </c>
      <c r="AG59" t="s">
        <v>57</v>
      </c>
      <c r="AH59" t="s">
        <v>57</v>
      </c>
      <c r="AI59" t="s">
        <v>57</v>
      </c>
      <c r="AJ59" t="s">
        <v>57</v>
      </c>
      <c r="AK59" t="s">
        <v>57</v>
      </c>
      <c r="AL59" t="s">
        <v>57</v>
      </c>
      <c r="AM59" t="s">
        <v>57</v>
      </c>
      <c r="AN59" t="s">
        <v>57</v>
      </c>
      <c r="AO59" t="s">
        <v>57</v>
      </c>
    </row>
  </sheetData>
  <autoFilter ref="A1:AO58" xr:uid="{00000000-0009-0000-0000-000000000000}"/>
  <pageMargins left="0.511811024" right="0.511811024" top="0.78740157499999996" bottom="0.78740157499999996" header="0.31496062000000002" footer="0.31496062000000002"/>
  <ignoredErrors>
    <ignoredError sqref="A1:AO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5" x14ac:dyDescent="0.25"/>
  <cols>
    <col min="1" max="1" width="14.875" customWidth="1"/>
    <col min="2" max="2" width="20.875" customWidth="1"/>
    <col min="3" max="3" width="16.875" customWidth="1"/>
  </cols>
  <sheetData>
    <row r="1" spans="1:3" ht="15.75" x14ac:dyDescent="0.25">
      <c r="A1" t="s">
        <v>39</v>
      </c>
      <c r="B1" t="s">
        <v>415</v>
      </c>
      <c r="C1" t="s">
        <v>416</v>
      </c>
    </row>
    <row r="2" spans="1:3" ht="15.75" x14ac:dyDescent="0.25">
      <c r="A2" t="s">
        <v>59</v>
      </c>
      <c r="B2">
        <v>55</v>
      </c>
      <c r="C2" s="2">
        <v>219886.79</v>
      </c>
    </row>
    <row r="3" spans="1:3" ht="15.75" x14ac:dyDescent="0.25">
      <c r="A3" t="s">
        <v>184</v>
      </c>
      <c r="B3">
        <v>2</v>
      </c>
      <c r="C3" s="2">
        <v>41590.400000000001</v>
      </c>
    </row>
    <row r="4" spans="1:3" ht="15.75" x14ac:dyDescent="0.25">
      <c r="A4" t="s">
        <v>417</v>
      </c>
      <c r="B4">
        <v>0</v>
      </c>
      <c r="C4" s="2">
        <v>0</v>
      </c>
    </row>
    <row r="5" spans="1:3" ht="15.75" x14ac:dyDescent="0.25">
      <c r="A5" t="s">
        <v>418</v>
      </c>
      <c r="B5">
        <v>57</v>
      </c>
      <c r="C5" s="2">
        <v>261477.19</v>
      </c>
    </row>
    <row r="7" spans="1:3" ht="15.75" x14ac:dyDescent="0.25">
      <c r="A7" t="s">
        <v>419</v>
      </c>
      <c r="B7" t="s">
        <v>420</v>
      </c>
    </row>
  </sheetData>
  <pageMargins left="0.511811024" right="0.511811024" top="0.78740157499999996" bottom="0.78740157499999996" header="0.31496062000000002" footer="0.31496062000000002"/>
  <ignoredErrors>
    <ignoredError sqref="A1:C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Relação</vt:lpstr>
      <vt:lpstr>Resumo</vt:lpstr>
      <vt:lpstr>Relação!_FiltrarBancodeDados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Vitória Elane</dc:creator>
  <cp:lastModifiedBy>Vitória Elane</cp:lastModifiedBy>
  <dcterms:created xsi:type="dcterms:W3CDTF">2026-07-13T18:49:12Z</dcterms:created>
  <dcterms:modified xsi:type="dcterms:W3CDTF">2026-07-13T18:49:12Z</dcterms:modified>
</cp:coreProperties>
</file>